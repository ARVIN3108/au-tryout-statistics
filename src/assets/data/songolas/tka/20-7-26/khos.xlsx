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songolas\tka\20-7-26\"/>
    </mc:Choice>
  </mc:AlternateContent>
  <xr:revisionPtr revIDLastSave="0" documentId="8_{E3D15628-A8CC-41AB-84ED-0879CFD5E00C}" xr6:coauthVersionLast="47" xr6:coauthVersionMax="47" xr10:uidLastSave="{00000000-0000-0000-0000-000000000000}"/>
  <bookViews>
    <workbookView xWindow="-120" yWindow="-120" windowWidth="20640" windowHeight="11040" xr2:uid="{8E5D050B-6DB5-48D5-B6F9-50FBB57AADF6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29" i="1"/>
  <c r="M4" i="1"/>
  <c r="M36" i="1"/>
  <c r="M53" i="1"/>
  <c r="N53" i="1" s="1"/>
  <c r="M44" i="1"/>
  <c r="O44" i="1" s="1"/>
  <c r="M28" i="1"/>
  <c r="M25" i="1"/>
  <c r="M43" i="1"/>
  <c r="N43" i="1" s="1"/>
  <c r="M19" i="1"/>
  <c r="M54" i="1"/>
  <c r="M27" i="1"/>
  <c r="M12" i="1"/>
  <c r="N12" i="1" s="1"/>
  <c r="M15" i="1"/>
  <c r="M5" i="1"/>
  <c r="M31" i="1"/>
  <c r="M1" i="1"/>
  <c r="N1" i="1" s="1"/>
  <c r="M9" i="1"/>
  <c r="M41" i="1"/>
  <c r="M11" i="1"/>
  <c r="M26" i="1"/>
  <c r="N26" i="1" s="1"/>
  <c r="M50" i="1"/>
  <c r="M33" i="1"/>
  <c r="M62" i="1"/>
  <c r="M58" i="1"/>
  <c r="N58" i="1" s="1"/>
  <c r="M39" i="1"/>
  <c r="M24" i="1"/>
  <c r="M34" i="1"/>
  <c r="M32" i="1"/>
  <c r="N32" i="1" s="1"/>
  <c r="M2" i="1"/>
  <c r="M23" i="1"/>
  <c r="M6" i="1"/>
  <c r="M3" i="1"/>
  <c r="N3" i="1" s="1"/>
  <c r="M30" i="1"/>
  <c r="M46" i="1"/>
  <c r="M47" i="1"/>
  <c r="M13" i="1"/>
  <c r="N13" i="1" s="1"/>
  <c r="M48" i="1"/>
  <c r="M10" i="1"/>
  <c r="M38" i="1"/>
  <c r="M57" i="1"/>
  <c r="N57" i="1" s="1"/>
  <c r="M45" i="1"/>
  <c r="M42" i="1"/>
  <c r="M37" i="1"/>
  <c r="M52" i="1"/>
  <c r="N52" i="1" s="1"/>
  <c r="M61" i="1"/>
  <c r="M68" i="1"/>
  <c r="M22" i="1"/>
  <c r="M17" i="1"/>
  <c r="N17" i="1" s="1"/>
  <c r="M69" i="1"/>
  <c r="M59" i="1"/>
  <c r="M67" i="1"/>
  <c r="M65" i="1"/>
  <c r="N65" i="1" s="1"/>
  <c r="M51" i="1"/>
  <c r="M49" i="1"/>
  <c r="M60" i="1"/>
  <c r="M20" i="1"/>
  <c r="N20" i="1" s="1"/>
  <c r="M66" i="1"/>
  <c r="M56" i="1"/>
  <c r="M55" i="1"/>
  <c r="M16" i="1"/>
  <c r="N16" i="1" s="1"/>
  <c r="M8" i="1"/>
  <c r="M18" i="1"/>
  <c r="M63" i="1"/>
  <c r="M14" i="1"/>
  <c r="M64" i="1"/>
  <c r="M40" i="1"/>
  <c r="M35" i="1"/>
  <c r="M29" i="1"/>
  <c r="M7" i="1"/>
  <c r="K4" i="1"/>
  <c r="K36" i="1"/>
  <c r="K53" i="1"/>
  <c r="K44" i="1"/>
  <c r="K28" i="1"/>
  <c r="K25" i="1"/>
  <c r="K43" i="1"/>
  <c r="K19" i="1"/>
  <c r="K54" i="1"/>
  <c r="K27" i="1"/>
  <c r="K12" i="1"/>
  <c r="K15" i="1"/>
  <c r="K5" i="1"/>
  <c r="K31" i="1"/>
  <c r="K1" i="1"/>
  <c r="K9" i="1"/>
  <c r="K41" i="1"/>
  <c r="K11" i="1"/>
  <c r="K26" i="1"/>
  <c r="K50" i="1"/>
  <c r="K33" i="1"/>
  <c r="K62" i="1"/>
  <c r="K58" i="1"/>
  <c r="K39" i="1"/>
  <c r="K24" i="1"/>
  <c r="K34" i="1"/>
  <c r="K32" i="1"/>
  <c r="K2" i="1"/>
  <c r="K23" i="1"/>
  <c r="K6" i="1"/>
  <c r="K3" i="1"/>
  <c r="K30" i="1"/>
  <c r="K46" i="1"/>
  <c r="K47" i="1"/>
  <c r="K13" i="1"/>
  <c r="K48" i="1"/>
  <c r="K10" i="1"/>
  <c r="K38" i="1"/>
  <c r="K57" i="1"/>
  <c r="K45" i="1"/>
  <c r="K42" i="1"/>
  <c r="K37" i="1"/>
  <c r="K52" i="1"/>
  <c r="K61" i="1"/>
  <c r="K68" i="1"/>
  <c r="K22" i="1"/>
  <c r="K17" i="1"/>
  <c r="K69" i="1"/>
  <c r="K59" i="1"/>
  <c r="K67" i="1"/>
  <c r="K65" i="1"/>
  <c r="K51" i="1"/>
  <c r="K49" i="1"/>
  <c r="K60" i="1"/>
  <c r="K20" i="1"/>
  <c r="K66" i="1"/>
  <c r="K56" i="1"/>
  <c r="K55" i="1"/>
  <c r="K16" i="1"/>
  <c r="K8" i="1"/>
  <c r="K18" i="1"/>
  <c r="K63" i="1"/>
  <c r="K14" i="1"/>
  <c r="K64" i="1"/>
  <c r="K40" i="1"/>
  <c r="K35" i="1"/>
  <c r="K29" i="1"/>
  <c r="K7" i="1"/>
  <c r="I4" i="1"/>
  <c r="I36" i="1"/>
  <c r="I53" i="1"/>
  <c r="I44" i="1"/>
  <c r="I28" i="1"/>
  <c r="I25" i="1"/>
  <c r="I43" i="1"/>
  <c r="I19" i="1"/>
  <c r="I54" i="1"/>
  <c r="I27" i="1"/>
  <c r="I12" i="1"/>
  <c r="I15" i="1"/>
  <c r="I5" i="1"/>
  <c r="I31" i="1"/>
  <c r="I1" i="1"/>
  <c r="I9" i="1"/>
  <c r="I41" i="1"/>
  <c r="I11" i="1"/>
  <c r="I26" i="1"/>
  <c r="I50" i="1"/>
  <c r="I33" i="1"/>
  <c r="I62" i="1"/>
  <c r="I58" i="1"/>
  <c r="I39" i="1"/>
  <c r="I24" i="1"/>
  <c r="I34" i="1"/>
  <c r="I32" i="1"/>
  <c r="I2" i="1"/>
  <c r="I23" i="1"/>
  <c r="I6" i="1"/>
  <c r="I3" i="1"/>
  <c r="I30" i="1"/>
  <c r="I46" i="1"/>
  <c r="I47" i="1"/>
  <c r="I13" i="1"/>
  <c r="I48" i="1"/>
  <c r="I10" i="1"/>
  <c r="I38" i="1"/>
  <c r="I57" i="1"/>
  <c r="I45" i="1"/>
  <c r="I42" i="1"/>
  <c r="I37" i="1"/>
  <c r="I52" i="1"/>
  <c r="I61" i="1"/>
  <c r="I68" i="1"/>
  <c r="I22" i="1"/>
  <c r="I17" i="1"/>
  <c r="I69" i="1"/>
  <c r="I59" i="1"/>
  <c r="I67" i="1"/>
  <c r="I65" i="1"/>
  <c r="I51" i="1"/>
  <c r="I49" i="1"/>
  <c r="I60" i="1"/>
  <c r="I20" i="1"/>
  <c r="I66" i="1"/>
  <c r="I56" i="1"/>
  <c r="I55" i="1"/>
  <c r="I16" i="1"/>
  <c r="I8" i="1"/>
  <c r="I18" i="1"/>
  <c r="I63" i="1"/>
  <c r="I14" i="1"/>
  <c r="I64" i="1"/>
  <c r="I40" i="1"/>
  <c r="I35" i="1"/>
  <c r="I29" i="1"/>
  <c r="I7" i="1"/>
  <c r="G4" i="1"/>
  <c r="G36" i="1"/>
  <c r="G53" i="1"/>
  <c r="G44" i="1"/>
  <c r="G28" i="1"/>
  <c r="G25" i="1"/>
  <c r="G43" i="1"/>
  <c r="G19" i="1"/>
  <c r="G54" i="1"/>
  <c r="G27" i="1"/>
  <c r="G12" i="1"/>
  <c r="G15" i="1"/>
  <c r="G5" i="1"/>
  <c r="G31" i="1"/>
  <c r="G1" i="1"/>
  <c r="G9" i="1"/>
  <c r="G41" i="1"/>
  <c r="G11" i="1"/>
  <c r="G26" i="1"/>
  <c r="G50" i="1"/>
  <c r="G33" i="1"/>
  <c r="G62" i="1"/>
  <c r="G58" i="1"/>
  <c r="G39" i="1"/>
  <c r="G24" i="1"/>
  <c r="G34" i="1"/>
  <c r="G32" i="1"/>
  <c r="G2" i="1"/>
  <c r="G23" i="1"/>
  <c r="G6" i="1"/>
  <c r="G3" i="1"/>
  <c r="G30" i="1"/>
  <c r="G46" i="1"/>
  <c r="G47" i="1"/>
  <c r="G13" i="1"/>
  <c r="G48" i="1"/>
  <c r="G10" i="1"/>
  <c r="G38" i="1"/>
  <c r="G57" i="1"/>
  <c r="G45" i="1"/>
  <c r="G42" i="1"/>
  <c r="G37" i="1"/>
  <c r="G52" i="1"/>
  <c r="G61" i="1"/>
  <c r="G68" i="1"/>
  <c r="G22" i="1"/>
  <c r="G17" i="1"/>
  <c r="G69" i="1"/>
  <c r="G59" i="1"/>
  <c r="G67" i="1"/>
  <c r="G65" i="1"/>
  <c r="G51" i="1"/>
  <c r="G49" i="1"/>
  <c r="G60" i="1"/>
  <c r="G20" i="1"/>
  <c r="G66" i="1"/>
  <c r="G56" i="1"/>
  <c r="G55" i="1"/>
  <c r="G16" i="1"/>
  <c r="G8" i="1"/>
  <c r="G18" i="1"/>
  <c r="G63" i="1"/>
  <c r="G14" i="1"/>
  <c r="G64" i="1"/>
  <c r="G40" i="1"/>
  <c r="G35" i="1"/>
  <c r="G29" i="1"/>
  <c r="G7" i="1"/>
  <c r="E4" i="1"/>
  <c r="E36" i="1"/>
  <c r="E53" i="1"/>
  <c r="O53" i="1" s="1"/>
  <c r="E44" i="1"/>
  <c r="E28" i="1"/>
  <c r="E25" i="1"/>
  <c r="E43" i="1"/>
  <c r="O43" i="1" s="1"/>
  <c r="E19" i="1"/>
  <c r="O19" i="1" s="1"/>
  <c r="E54" i="1"/>
  <c r="E27" i="1"/>
  <c r="E12" i="1"/>
  <c r="O12" i="1" s="1"/>
  <c r="E15" i="1"/>
  <c r="O15" i="1" s="1"/>
  <c r="E5" i="1"/>
  <c r="E31" i="1"/>
  <c r="E1" i="1"/>
  <c r="O1" i="1" s="1"/>
  <c r="E9" i="1"/>
  <c r="O9" i="1" s="1"/>
  <c r="E41" i="1"/>
  <c r="E11" i="1"/>
  <c r="E26" i="1"/>
  <c r="O26" i="1" s="1"/>
  <c r="E50" i="1"/>
  <c r="O50" i="1" s="1"/>
  <c r="E33" i="1"/>
  <c r="E62" i="1"/>
  <c r="E58" i="1"/>
  <c r="O58" i="1" s="1"/>
  <c r="E39" i="1"/>
  <c r="O39" i="1" s="1"/>
  <c r="E24" i="1"/>
  <c r="E34" i="1"/>
  <c r="E32" i="1"/>
  <c r="O32" i="1" s="1"/>
  <c r="E2" i="1"/>
  <c r="O2" i="1" s="1"/>
  <c r="E23" i="1"/>
  <c r="E6" i="1"/>
  <c r="E3" i="1"/>
  <c r="O3" i="1" s="1"/>
  <c r="E30" i="1"/>
  <c r="O30" i="1" s="1"/>
  <c r="E46" i="1"/>
  <c r="E47" i="1"/>
  <c r="E13" i="1"/>
  <c r="O13" i="1" s="1"/>
  <c r="E48" i="1"/>
  <c r="O48" i="1" s="1"/>
  <c r="E10" i="1"/>
  <c r="E38" i="1"/>
  <c r="E57" i="1"/>
  <c r="O57" i="1" s="1"/>
  <c r="E45" i="1"/>
  <c r="O45" i="1" s="1"/>
  <c r="E42" i="1"/>
  <c r="E37" i="1"/>
  <c r="E52" i="1"/>
  <c r="O52" i="1" s="1"/>
  <c r="E61" i="1"/>
  <c r="O61" i="1" s="1"/>
  <c r="E68" i="1"/>
  <c r="E22" i="1"/>
  <c r="E17" i="1"/>
  <c r="O17" i="1" s="1"/>
  <c r="E69" i="1"/>
  <c r="O69" i="1" s="1"/>
  <c r="E59" i="1"/>
  <c r="E67" i="1"/>
  <c r="E65" i="1"/>
  <c r="O65" i="1" s="1"/>
  <c r="E51" i="1"/>
  <c r="O51" i="1" s="1"/>
  <c r="E49" i="1"/>
  <c r="E60" i="1"/>
  <c r="E20" i="1"/>
  <c r="O20" i="1" s="1"/>
  <c r="E66" i="1"/>
  <c r="O66" i="1" s="1"/>
  <c r="E56" i="1"/>
  <c r="E55" i="1"/>
  <c r="E16" i="1"/>
  <c r="O16" i="1" s="1"/>
  <c r="E8" i="1"/>
  <c r="O8" i="1" s="1"/>
  <c r="E18" i="1"/>
  <c r="E63" i="1"/>
  <c r="N63" i="1" s="1"/>
  <c r="E14" i="1"/>
  <c r="O14" i="1" s="1"/>
  <c r="E64" i="1"/>
  <c r="E40" i="1"/>
  <c r="O40" i="1" s="1"/>
  <c r="E35" i="1"/>
  <c r="O35" i="1" s="1"/>
  <c r="E29" i="1"/>
  <c r="O29" i="1" s="1"/>
  <c r="E7" i="1"/>
  <c r="M21" i="1"/>
  <c r="K21" i="1"/>
  <c r="I21" i="1"/>
  <c r="G21" i="1"/>
  <c r="E21" i="1"/>
  <c r="O21" i="1" s="1"/>
  <c r="N36" i="1" l="1"/>
  <c r="O25" i="1"/>
  <c r="N15" i="1"/>
  <c r="O31" i="1"/>
  <c r="N9" i="1"/>
  <c r="N11" i="1"/>
  <c r="O33" i="1"/>
  <c r="N39" i="1"/>
  <c r="N34" i="1"/>
  <c r="O23" i="1"/>
  <c r="N30" i="1"/>
  <c r="N47" i="1"/>
  <c r="O10" i="1"/>
  <c r="O42" i="1"/>
  <c r="N61" i="1"/>
  <c r="N22" i="1"/>
  <c r="N69" i="1"/>
  <c r="O49" i="1"/>
  <c r="N66" i="1"/>
  <c r="O55" i="1"/>
  <c r="O4" i="1"/>
  <c r="N44" i="1"/>
  <c r="O28" i="1"/>
  <c r="N19" i="1"/>
  <c r="O5" i="1"/>
  <c r="O41" i="1"/>
  <c r="N50" i="1"/>
  <c r="O62" i="1"/>
  <c r="O24" i="1"/>
  <c r="N2" i="1"/>
  <c r="O6" i="1"/>
  <c r="O46" i="1"/>
  <c r="N48" i="1"/>
  <c r="N38" i="1"/>
  <c r="N45" i="1"/>
  <c r="O37" i="1"/>
  <c r="O68" i="1"/>
  <c r="O59" i="1"/>
  <c r="N51" i="1"/>
  <c r="N60" i="1"/>
  <c r="O56" i="1"/>
  <c r="N8" i="1"/>
  <c r="O54" i="1"/>
  <c r="N27" i="1"/>
  <c r="O67" i="1"/>
  <c r="O18" i="1"/>
  <c r="N64" i="1"/>
  <c r="O64" i="1"/>
  <c r="N7" i="1"/>
  <c r="O7" i="1"/>
  <c r="N35" i="1"/>
  <c r="N55" i="1"/>
  <c r="N67" i="1"/>
  <c r="N37" i="1"/>
  <c r="N6" i="1"/>
  <c r="N62" i="1"/>
  <c r="N31" i="1"/>
  <c r="N25" i="1"/>
  <c r="N21" i="1"/>
  <c r="N40" i="1"/>
  <c r="N18" i="1"/>
  <c r="N56" i="1"/>
  <c r="N49" i="1"/>
  <c r="N59" i="1"/>
  <c r="N68" i="1"/>
  <c r="N42" i="1"/>
  <c r="N10" i="1"/>
  <c r="N46" i="1"/>
  <c r="N23" i="1"/>
  <c r="N24" i="1"/>
  <c r="N33" i="1"/>
  <c r="N41" i="1"/>
  <c r="N5" i="1"/>
  <c r="N54" i="1"/>
  <c r="N28" i="1"/>
  <c r="N4" i="1"/>
  <c r="O63" i="1"/>
  <c r="O60" i="1"/>
  <c r="O22" i="1"/>
  <c r="O38" i="1"/>
  <c r="O47" i="1"/>
  <c r="O34" i="1"/>
  <c r="O11" i="1"/>
  <c r="O27" i="1"/>
  <c r="O36" i="1"/>
</calcChain>
</file>

<file path=xl/sharedStrings.xml><?xml version="1.0" encoding="utf-8"?>
<sst xmlns="http://schemas.openxmlformats.org/spreadsheetml/2006/main" count="149" uniqueCount="82">
  <si>
    <t>DESWITA SALSA B</t>
  </si>
  <si>
    <t xml:space="preserve">INNANI ANAAA F </t>
  </si>
  <si>
    <t xml:space="preserve">DEWI AYU CW    </t>
  </si>
  <si>
    <t xml:space="preserve">SYAH A AGNY    </t>
  </si>
  <si>
    <t xml:space="preserve">TALITHA AZ DBB </t>
  </si>
  <si>
    <t>LAYLA LILLAHI I</t>
  </si>
  <si>
    <t xml:space="preserve">ULIMA NURIA A  </t>
  </si>
  <si>
    <t xml:space="preserve">ALIA AZKA A    </t>
  </si>
  <si>
    <t>LULUK RAMADHANI</t>
  </si>
  <si>
    <t>NAYLA IZZATU  A</t>
  </si>
  <si>
    <t xml:space="preserve">HASNA TSABITA  </t>
  </si>
  <si>
    <t>ROZZANA JUSTINE</t>
  </si>
  <si>
    <t>ALYA NUR NABILA</t>
  </si>
  <si>
    <t xml:space="preserve">MUHSYIHABUDDIN </t>
  </si>
  <si>
    <t xml:space="preserve">MALIK AL G Z   </t>
  </si>
  <si>
    <t xml:space="preserve">ALDI           </t>
  </si>
  <si>
    <t xml:space="preserve">CANNAVARO      </t>
  </si>
  <si>
    <t>MOHAMMAD FAIKAL</t>
  </si>
  <si>
    <t xml:space="preserve">ZIGRA          </t>
  </si>
  <si>
    <t>DAVA MAABDILLAH</t>
  </si>
  <si>
    <t>GIOAHMADMAULANA</t>
  </si>
  <si>
    <t>M ILHAM KHADAFI</t>
  </si>
  <si>
    <t xml:space="preserve">M FARHAN       </t>
  </si>
  <si>
    <t xml:space="preserve">AHMAD ROHIL RI </t>
  </si>
  <si>
    <t xml:space="preserve">M MUSONNIFIN A </t>
  </si>
  <si>
    <t xml:space="preserve">RHAMAALD       </t>
  </si>
  <si>
    <t xml:space="preserve">FADHIL RIZQI   </t>
  </si>
  <si>
    <t>M FAQIH HILMY H</t>
  </si>
  <si>
    <t xml:space="preserve">AIRSYAD        </t>
  </si>
  <si>
    <t>MOH AFGAN TRY I</t>
  </si>
  <si>
    <t xml:space="preserve">REHAN IF       </t>
  </si>
  <si>
    <t xml:space="preserve">AKHDAN         </t>
  </si>
  <si>
    <t xml:space="preserve"> *12627007</t>
  </si>
  <si>
    <t xml:space="preserve">ANDINIPRAMESTI </t>
  </si>
  <si>
    <t xml:space="preserve">KHANSA DEWI A  </t>
  </si>
  <si>
    <t xml:space="preserve">DZAKY AHMAD R  </t>
  </si>
  <si>
    <t xml:space="preserve">M FAIRU        </t>
  </si>
  <si>
    <t xml:space="preserve">ADITYANIRBAYA  </t>
  </si>
  <si>
    <t xml:space="preserve">BILQIS MUTIAH  </t>
  </si>
  <si>
    <t xml:space="preserve">CINTANIA RIZKY </t>
  </si>
  <si>
    <t xml:space="preserve">JIHAN FARHANA  </t>
  </si>
  <si>
    <t>NAURAH MUMTAZAH</t>
  </si>
  <si>
    <t>32026270 3</t>
  </si>
  <si>
    <t>M ROHIL HUMAIDY</t>
  </si>
  <si>
    <t>3 02627013</t>
  </si>
  <si>
    <t xml:space="preserve">MJIBRIL A      </t>
  </si>
  <si>
    <t xml:space="preserve">MEHDI FIQIH A  </t>
  </si>
  <si>
    <t xml:space="preserve">WAFA           </t>
  </si>
  <si>
    <t xml:space="preserve">SATRIA BUDI S  </t>
  </si>
  <si>
    <t xml:space="preserve">SURYA WALI     </t>
  </si>
  <si>
    <t>JEFRY KHOIRUL A</t>
  </si>
  <si>
    <t>NAJWAALMAQVIRAH</t>
  </si>
  <si>
    <t xml:space="preserve">          </t>
  </si>
  <si>
    <t xml:space="preserve">DASHA TARAN    </t>
  </si>
  <si>
    <t xml:space="preserve">MISS SCOUT     </t>
  </si>
  <si>
    <t xml:space="preserve">TANIA SHAFIRA  </t>
  </si>
  <si>
    <t xml:space="preserve">ALFIN DINA N   </t>
  </si>
  <si>
    <t>AZMAH FAUZIYYAH</t>
  </si>
  <si>
    <t>MUIFAHNURRAHMAH</t>
  </si>
  <si>
    <t xml:space="preserve">NISA AHADIAH   </t>
  </si>
  <si>
    <t xml:space="preserve">10 1 0 2  </t>
  </si>
  <si>
    <t xml:space="preserve">ABU HASAN A G  </t>
  </si>
  <si>
    <t xml:space="preserve">KHALYZZA       </t>
  </si>
  <si>
    <t>10121    2</t>
  </si>
  <si>
    <t xml:space="preserve">INCESCANTIK    </t>
  </si>
  <si>
    <t>AKBARDWIRAH ATH</t>
  </si>
  <si>
    <t xml:space="preserve">5 9       </t>
  </si>
  <si>
    <t xml:space="preserve">FACH           </t>
  </si>
  <si>
    <t xml:space="preserve">519 703   </t>
  </si>
  <si>
    <t xml:space="preserve">MUCHAMMAD HAJI </t>
  </si>
  <si>
    <t>ARKA  YALINT NG</t>
  </si>
  <si>
    <t xml:space="preserve">40  6     </t>
  </si>
  <si>
    <t xml:space="preserve">  FAUZAN F     </t>
  </si>
  <si>
    <t>GHINAAULIAMAULA</t>
  </si>
  <si>
    <t xml:space="preserve">SULTAN IBRAHIM </t>
  </si>
  <si>
    <t xml:space="preserve">NA    H G ANI  </t>
  </si>
  <si>
    <t xml:space="preserve">AHMAD   SQII   </t>
  </si>
  <si>
    <t xml:space="preserve">M AZZAM        </t>
  </si>
  <si>
    <t>MBI PACET</t>
  </si>
  <si>
    <t>SMABP PACET</t>
  </si>
  <si>
    <t>MAI PACET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</si>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</sst>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43E2-21D7-4600-B872-A328095E7224}">
  <dimension ref="A1:P69"/>
  <sheetViews>
    <sheetView tabSelected="1" workbookViewId="0">
      <selection activeCell="D1" sqref="A1:XFD2"/>
    </sheetView>
  </sheetViews>
  <sheetFormatPr defaultRowHeight="15" x14ac:dyDescent="0.25"/>
  <cols>
    <col min="1" max="1" width="3.85546875" bestFit="1" customWidth="1"/>
    <col min="2" max="2" width="12.28515625" bestFit="1" customWidth="1"/>
    <col min="3" max="3" width="19.5703125" bestFit="1" customWidth="1"/>
    <col min="4" max="13" width="5.85546875" customWidth="1"/>
    <col min="16" max="16" width="19.140625" customWidth="1"/>
  </cols>
  <sheetData>
    <row r="1" spans="1:16" x14ac:dyDescent="0.25">
      <c r="A1" s="1">
        <v>1</v>
      </c>
      <c r="B1" s="1">
        <v>2202627012</v>
      </c>
      <c r="C1" s="1" t="s">
        <v>15</v>
      </c>
      <c r="D1" s="2">
        <v>20</v>
      </c>
      <c r="E1" s="3">
        <f t="shared" ref="E1:E32" si="0">10/30*D1</f>
        <v>6.6666666666666661</v>
      </c>
      <c r="F1" s="2">
        <v>17</v>
      </c>
      <c r="G1" s="3">
        <f t="shared" ref="G1:G32" si="1">10/25*F1</f>
        <v>6.8000000000000007</v>
      </c>
      <c r="H1" s="2">
        <v>13</v>
      </c>
      <c r="I1" s="3">
        <f t="shared" ref="I1:I32" si="2">10/40*H1</f>
        <v>3.25</v>
      </c>
      <c r="J1" s="2">
        <v>14</v>
      </c>
      <c r="K1" s="3">
        <f t="shared" ref="K1:K32" si="3">10/15*J1</f>
        <v>9.3333333333333321</v>
      </c>
      <c r="L1" s="2">
        <v>3</v>
      </c>
      <c r="M1" s="3">
        <f t="shared" ref="M1:M32" si="4">10/5*L1</f>
        <v>6</v>
      </c>
      <c r="N1" s="3">
        <f t="shared" ref="N1:N32" si="5">SUM(E1,G1,I1,K1,M1)</f>
        <v>32.049999999999997</v>
      </c>
      <c r="O1" s="3">
        <f t="shared" ref="O1:O32" si="6">AVERAGE(E1,G1,I1,K1,M1)</f>
        <v>6.4099999999999993</v>
      </c>
      <c r="P1" s="2" t="s">
        <v>78</v>
      </c>
    </row>
    <row r="2" spans="1:16" x14ac:dyDescent="0.25">
      <c r="A2" s="1">
        <v>2</v>
      </c>
      <c r="B2" s="1">
        <v>2202627045</v>
      </c>
      <c r="C2" s="1" t="s">
        <v>28</v>
      </c>
      <c r="D2" s="2">
        <v>30</v>
      </c>
      <c r="E2" s="3">
        <f t="shared" si="0"/>
        <v>10</v>
      </c>
      <c r="F2" s="2">
        <v>16</v>
      </c>
      <c r="G2" s="3">
        <f t="shared" si="1"/>
        <v>6.4</v>
      </c>
      <c r="H2" s="2">
        <v>19</v>
      </c>
      <c r="I2" s="3">
        <f t="shared" si="2"/>
        <v>4.75</v>
      </c>
      <c r="J2" s="2">
        <v>12</v>
      </c>
      <c r="K2" s="3">
        <f t="shared" si="3"/>
        <v>8</v>
      </c>
      <c r="L2" s="2">
        <v>1</v>
      </c>
      <c r="M2" s="3">
        <f t="shared" si="4"/>
        <v>2</v>
      </c>
      <c r="N2" s="3">
        <f t="shared" si="5"/>
        <v>31.15</v>
      </c>
      <c r="O2" s="3">
        <f t="shared" si="6"/>
        <v>6.2299999999999995</v>
      </c>
      <c r="P2" s="2" t="s">
        <v>78</v>
      </c>
    </row>
    <row r="3" spans="1:16" x14ac:dyDescent="0.25">
      <c r="A3" s="1">
        <v>3</v>
      </c>
      <c r="B3" s="1">
        <v>2202627011</v>
      </c>
      <c r="C3" s="1" t="s">
        <v>31</v>
      </c>
      <c r="D3" s="2">
        <v>18</v>
      </c>
      <c r="E3" s="3">
        <f t="shared" si="0"/>
        <v>6</v>
      </c>
      <c r="F3" s="2">
        <v>12</v>
      </c>
      <c r="G3" s="3">
        <f t="shared" si="1"/>
        <v>4.8000000000000007</v>
      </c>
      <c r="H3" s="2">
        <v>9</v>
      </c>
      <c r="I3" s="3">
        <f t="shared" si="2"/>
        <v>2.25</v>
      </c>
      <c r="J3" s="2">
        <v>14</v>
      </c>
      <c r="K3" s="3">
        <f t="shared" si="3"/>
        <v>9.3333333333333321</v>
      </c>
      <c r="L3" s="2">
        <v>3</v>
      </c>
      <c r="M3" s="3">
        <f t="shared" si="4"/>
        <v>6</v>
      </c>
      <c r="N3" s="3">
        <f t="shared" si="5"/>
        <v>28.383333333333333</v>
      </c>
      <c r="O3" s="3">
        <f t="shared" si="6"/>
        <v>5.6766666666666667</v>
      </c>
      <c r="P3" s="2" t="s">
        <v>78</v>
      </c>
    </row>
    <row r="4" spans="1:16" x14ac:dyDescent="0.25">
      <c r="A4" s="1">
        <v>4</v>
      </c>
      <c r="B4" s="1">
        <v>2212627040</v>
      </c>
      <c r="C4" s="1" t="s">
        <v>1</v>
      </c>
      <c r="D4" s="2">
        <v>18</v>
      </c>
      <c r="E4" s="3">
        <f t="shared" si="0"/>
        <v>6</v>
      </c>
      <c r="F4" s="2">
        <v>16</v>
      </c>
      <c r="G4" s="3">
        <f t="shared" si="1"/>
        <v>6.4</v>
      </c>
      <c r="H4" s="2">
        <v>15</v>
      </c>
      <c r="I4" s="3">
        <f t="shared" si="2"/>
        <v>3.75</v>
      </c>
      <c r="J4" s="2">
        <v>9</v>
      </c>
      <c r="K4" s="3">
        <f t="shared" si="3"/>
        <v>6</v>
      </c>
      <c r="L4" s="2">
        <v>3</v>
      </c>
      <c r="M4" s="3">
        <f t="shared" si="4"/>
        <v>6</v>
      </c>
      <c r="N4" s="3">
        <f t="shared" si="5"/>
        <v>28.15</v>
      </c>
      <c r="O4" s="3">
        <f t="shared" si="6"/>
        <v>5.63</v>
      </c>
      <c r="P4" s="2" t="s">
        <v>78</v>
      </c>
    </row>
    <row r="5" spans="1:16" x14ac:dyDescent="0.25">
      <c r="A5" s="1">
        <v>5</v>
      </c>
      <c r="B5" s="1">
        <v>2202627068</v>
      </c>
      <c r="C5" s="1" t="s">
        <v>13</v>
      </c>
      <c r="D5" s="2">
        <v>17</v>
      </c>
      <c r="E5" s="3">
        <f t="shared" si="0"/>
        <v>5.6666666666666661</v>
      </c>
      <c r="F5" s="2">
        <v>13</v>
      </c>
      <c r="G5" s="3">
        <f t="shared" si="1"/>
        <v>5.2</v>
      </c>
      <c r="H5" s="2">
        <v>10</v>
      </c>
      <c r="I5" s="3">
        <f t="shared" si="2"/>
        <v>2.5</v>
      </c>
      <c r="J5" s="2">
        <v>10</v>
      </c>
      <c r="K5" s="3">
        <f t="shared" si="3"/>
        <v>6.6666666666666661</v>
      </c>
      <c r="L5" s="2">
        <v>4</v>
      </c>
      <c r="M5" s="3">
        <f t="shared" si="4"/>
        <v>8</v>
      </c>
      <c r="N5" s="3">
        <f t="shared" si="5"/>
        <v>28.033333333333331</v>
      </c>
      <c r="O5" s="3">
        <f t="shared" si="6"/>
        <v>5.6066666666666665</v>
      </c>
      <c r="P5" s="2" t="s">
        <v>78</v>
      </c>
    </row>
    <row r="6" spans="1:16" x14ac:dyDescent="0.25">
      <c r="A6" s="1">
        <v>6</v>
      </c>
      <c r="B6" s="1">
        <v>2202627077</v>
      </c>
      <c r="C6" s="1" t="s">
        <v>30</v>
      </c>
      <c r="D6" s="2">
        <v>19</v>
      </c>
      <c r="E6" s="3">
        <f t="shared" si="0"/>
        <v>6.333333333333333</v>
      </c>
      <c r="F6" s="2">
        <v>14</v>
      </c>
      <c r="G6" s="3">
        <f t="shared" si="1"/>
        <v>5.6000000000000005</v>
      </c>
      <c r="H6" s="2">
        <v>11</v>
      </c>
      <c r="I6" s="3">
        <f t="shared" si="2"/>
        <v>2.75</v>
      </c>
      <c r="J6" s="2">
        <v>11</v>
      </c>
      <c r="K6" s="3">
        <f t="shared" si="3"/>
        <v>7.333333333333333</v>
      </c>
      <c r="L6" s="2">
        <v>3</v>
      </c>
      <c r="M6" s="3">
        <f t="shared" si="4"/>
        <v>6</v>
      </c>
      <c r="N6" s="3">
        <f t="shared" si="5"/>
        <v>28.016666666666666</v>
      </c>
      <c r="O6" s="3">
        <f t="shared" si="6"/>
        <v>5.6033333333333335</v>
      </c>
      <c r="P6" s="2" t="s">
        <v>78</v>
      </c>
    </row>
    <row r="7" spans="1:16" x14ac:dyDescent="0.25">
      <c r="A7" s="1">
        <v>7</v>
      </c>
      <c r="B7" s="1" t="s">
        <v>52</v>
      </c>
      <c r="C7" s="1" t="s">
        <v>77</v>
      </c>
      <c r="D7" s="2">
        <v>20</v>
      </c>
      <c r="E7" s="3">
        <f t="shared" si="0"/>
        <v>6.6666666666666661</v>
      </c>
      <c r="F7" s="2">
        <v>13</v>
      </c>
      <c r="G7" s="3">
        <f t="shared" si="1"/>
        <v>5.2</v>
      </c>
      <c r="H7" s="2">
        <v>10</v>
      </c>
      <c r="I7" s="3">
        <f t="shared" si="2"/>
        <v>2.5</v>
      </c>
      <c r="J7" s="2">
        <v>11</v>
      </c>
      <c r="K7" s="3">
        <f t="shared" si="3"/>
        <v>7.333333333333333</v>
      </c>
      <c r="L7" s="2">
        <v>3</v>
      </c>
      <c r="M7" s="3">
        <f t="shared" si="4"/>
        <v>6</v>
      </c>
      <c r="N7" s="3">
        <f t="shared" si="5"/>
        <v>27.7</v>
      </c>
      <c r="O7" s="3">
        <f t="shared" si="6"/>
        <v>5.54</v>
      </c>
      <c r="P7" s="2" t="s">
        <v>81</v>
      </c>
    </row>
    <row r="8" spans="1:16" x14ac:dyDescent="0.25">
      <c r="A8" s="1">
        <v>8</v>
      </c>
      <c r="B8" s="1" t="s">
        <v>66</v>
      </c>
      <c r="C8" s="1" t="s">
        <v>67</v>
      </c>
      <c r="D8" s="2">
        <v>20</v>
      </c>
      <c r="E8" s="3">
        <f t="shared" si="0"/>
        <v>6.6666666666666661</v>
      </c>
      <c r="F8" s="2">
        <v>15</v>
      </c>
      <c r="G8" s="3">
        <f t="shared" si="1"/>
        <v>6</v>
      </c>
      <c r="H8" s="2">
        <v>15</v>
      </c>
      <c r="I8" s="3">
        <f t="shared" si="2"/>
        <v>3.75</v>
      </c>
      <c r="J8" s="2">
        <v>10</v>
      </c>
      <c r="K8" s="3">
        <f t="shared" si="3"/>
        <v>6.6666666666666661</v>
      </c>
      <c r="L8" s="2">
        <v>2</v>
      </c>
      <c r="M8" s="3">
        <f t="shared" si="4"/>
        <v>4</v>
      </c>
      <c r="N8" s="3">
        <f t="shared" si="5"/>
        <v>27.083333333333329</v>
      </c>
      <c r="O8" s="3">
        <f t="shared" si="6"/>
        <v>5.4166666666666661</v>
      </c>
      <c r="P8" s="2" t="s">
        <v>81</v>
      </c>
    </row>
    <row r="9" spans="1:16" x14ac:dyDescent="0.25">
      <c r="A9" s="1">
        <v>9</v>
      </c>
      <c r="B9" s="1">
        <v>2202627020</v>
      </c>
      <c r="C9" s="1" t="s">
        <v>16</v>
      </c>
      <c r="D9" s="2">
        <v>17</v>
      </c>
      <c r="E9" s="3">
        <f t="shared" si="0"/>
        <v>5.6666666666666661</v>
      </c>
      <c r="F9" s="2">
        <v>16</v>
      </c>
      <c r="G9" s="3">
        <f t="shared" si="1"/>
        <v>6.4</v>
      </c>
      <c r="H9" s="2">
        <v>11</v>
      </c>
      <c r="I9" s="3">
        <f t="shared" si="2"/>
        <v>2.75</v>
      </c>
      <c r="J9" s="2">
        <v>10</v>
      </c>
      <c r="K9" s="3">
        <f t="shared" si="3"/>
        <v>6.6666666666666661</v>
      </c>
      <c r="L9" s="2">
        <v>2</v>
      </c>
      <c r="M9" s="3">
        <f t="shared" si="4"/>
        <v>4</v>
      </c>
      <c r="N9" s="3">
        <f t="shared" si="5"/>
        <v>25.483333333333334</v>
      </c>
      <c r="O9" s="3">
        <f t="shared" si="6"/>
        <v>5.0966666666666667</v>
      </c>
      <c r="P9" s="2" t="s">
        <v>78</v>
      </c>
    </row>
    <row r="10" spans="1:16" x14ac:dyDescent="0.25">
      <c r="A10" s="1">
        <v>10</v>
      </c>
      <c r="B10" s="1">
        <v>3112627035</v>
      </c>
      <c r="C10" s="1" t="s">
        <v>38</v>
      </c>
      <c r="D10" s="2">
        <v>16</v>
      </c>
      <c r="E10" s="3">
        <f t="shared" si="0"/>
        <v>5.333333333333333</v>
      </c>
      <c r="F10" s="2">
        <v>15</v>
      </c>
      <c r="G10" s="3">
        <f t="shared" si="1"/>
        <v>6</v>
      </c>
      <c r="H10" s="2">
        <v>7</v>
      </c>
      <c r="I10" s="3">
        <f t="shared" si="2"/>
        <v>1.75</v>
      </c>
      <c r="J10" s="2">
        <v>6</v>
      </c>
      <c r="K10" s="3">
        <f t="shared" si="3"/>
        <v>4</v>
      </c>
      <c r="L10" s="2">
        <v>4</v>
      </c>
      <c r="M10" s="3">
        <f t="shared" si="4"/>
        <v>8</v>
      </c>
      <c r="N10" s="3">
        <f t="shared" si="5"/>
        <v>25.083333333333332</v>
      </c>
      <c r="O10" s="3">
        <f t="shared" si="6"/>
        <v>5.0166666666666666</v>
      </c>
      <c r="P10" s="2" t="s">
        <v>80</v>
      </c>
    </row>
    <row r="11" spans="1:16" x14ac:dyDescent="0.25">
      <c r="A11" s="1">
        <v>11</v>
      </c>
      <c r="B11" s="1">
        <v>2202627087</v>
      </c>
      <c r="C11" s="1" t="s">
        <v>18</v>
      </c>
      <c r="D11" s="2">
        <v>19</v>
      </c>
      <c r="E11" s="3">
        <f t="shared" si="0"/>
        <v>6.333333333333333</v>
      </c>
      <c r="F11" s="2">
        <v>12</v>
      </c>
      <c r="G11" s="3">
        <f t="shared" si="1"/>
        <v>4.8000000000000007</v>
      </c>
      <c r="H11" s="2">
        <v>7</v>
      </c>
      <c r="I11" s="3">
        <f t="shared" si="2"/>
        <v>1.75</v>
      </c>
      <c r="J11" s="2">
        <v>9</v>
      </c>
      <c r="K11" s="3">
        <f t="shared" si="3"/>
        <v>6</v>
      </c>
      <c r="L11" s="2">
        <v>3</v>
      </c>
      <c r="M11" s="3">
        <f t="shared" si="4"/>
        <v>6</v>
      </c>
      <c r="N11" s="3">
        <f t="shared" si="5"/>
        <v>24.883333333333333</v>
      </c>
      <c r="O11" s="3">
        <f t="shared" si="6"/>
        <v>4.9766666666666666</v>
      </c>
      <c r="P11" s="2" t="s">
        <v>78</v>
      </c>
    </row>
    <row r="12" spans="1:16" x14ac:dyDescent="0.25">
      <c r="A12" s="1">
        <v>12</v>
      </c>
      <c r="B12" s="1">
        <v>2212627078</v>
      </c>
      <c r="C12" s="1" t="s">
        <v>11</v>
      </c>
      <c r="D12" s="2">
        <v>17</v>
      </c>
      <c r="E12" s="3">
        <f t="shared" si="0"/>
        <v>5.6666666666666661</v>
      </c>
      <c r="F12" s="2">
        <v>20</v>
      </c>
      <c r="G12" s="3">
        <f t="shared" si="1"/>
        <v>8</v>
      </c>
      <c r="H12" s="2">
        <v>12</v>
      </c>
      <c r="I12" s="3">
        <f t="shared" si="2"/>
        <v>3</v>
      </c>
      <c r="J12" s="2">
        <v>9</v>
      </c>
      <c r="K12" s="3">
        <f t="shared" si="3"/>
        <v>6</v>
      </c>
      <c r="L12" s="2">
        <v>1</v>
      </c>
      <c r="M12" s="3">
        <f t="shared" si="4"/>
        <v>2</v>
      </c>
      <c r="N12" s="3">
        <f t="shared" si="5"/>
        <v>24.666666666666664</v>
      </c>
      <c r="O12" s="3">
        <f t="shared" si="6"/>
        <v>4.9333333333333327</v>
      </c>
      <c r="P12" s="2" t="s">
        <v>78</v>
      </c>
    </row>
    <row r="13" spans="1:16" x14ac:dyDescent="0.25">
      <c r="A13" s="1">
        <v>13</v>
      </c>
      <c r="B13" s="1">
        <v>8102685125</v>
      </c>
      <c r="C13" s="1" t="s">
        <v>36</v>
      </c>
      <c r="D13" s="2">
        <v>14</v>
      </c>
      <c r="E13" s="3">
        <f t="shared" si="0"/>
        <v>4.6666666666666661</v>
      </c>
      <c r="F13" s="2">
        <v>8</v>
      </c>
      <c r="G13" s="3">
        <f t="shared" si="1"/>
        <v>3.2</v>
      </c>
      <c r="H13" s="2">
        <v>8</v>
      </c>
      <c r="I13" s="3">
        <f t="shared" si="2"/>
        <v>2</v>
      </c>
      <c r="J13" s="2">
        <v>7</v>
      </c>
      <c r="K13" s="3">
        <f t="shared" si="3"/>
        <v>4.6666666666666661</v>
      </c>
      <c r="L13" s="2">
        <v>5</v>
      </c>
      <c r="M13" s="3">
        <f t="shared" si="4"/>
        <v>10</v>
      </c>
      <c r="N13" s="3">
        <f t="shared" si="5"/>
        <v>24.533333333333331</v>
      </c>
      <c r="O13" s="3">
        <f t="shared" si="6"/>
        <v>4.9066666666666663</v>
      </c>
      <c r="P13" s="2" t="s">
        <v>79</v>
      </c>
    </row>
    <row r="14" spans="1:16" x14ac:dyDescent="0.25">
      <c r="A14" s="1">
        <v>14</v>
      </c>
      <c r="B14" s="1" t="s">
        <v>71</v>
      </c>
      <c r="C14" s="1" t="s">
        <v>72</v>
      </c>
      <c r="D14" s="2">
        <v>17</v>
      </c>
      <c r="E14" s="3">
        <f t="shared" si="0"/>
        <v>5.6666666666666661</v>
      </c>
      <c r="F14" s="2">
        <v>11</v>
      </c>
      <c r="G14" s="3">
        <f t="shared" si="1"/>
        <v>4.4000000000000004</v>
      </c>
      <c r="H14" s="2">
        <v>6</v>
      </c>
      <c r="I14" s="3">
        <f t="shared" si="2"/>
        <v>1.5</v>
      </c>
      <c r="J14" s="2">
        <v>7</v>
      </c>
      <c r="K14" s="3">
        <f t="shared" si="3"/>
        <v>4.6666666666666661</v>
      </c>
      <c r="L14" s="2">
        <v>4</v>
      </c>
      <c r="M14" s="3">
        <f t="shared" si="4"/>
        <v>8</v>
      </c>
      <c r="N14" s="3">
        <f t="shared" si="5"/>
        <v>24.233333333333334</v>
      </c>
      <c r="O14" s="3">
        <f t="shared" si="6"/>
        <v>4.8466666666666667</v>
      </c>
      <c r="P14" s="2" t="s">
        <v>81</v>
      </c>
    </row>
    <row r="15" spans="1:16" x14ac:dyDescent="0.25">
      <c r="A15" s="1">
        <v>15</v>
      </c>
      <c r="B15" s="1">
        <v>2212627009</v>
      </c>
      <c r="C15" s="1" t="s">
        <v>12</v>
      </c>
      <c r="D15" s="2">
        <v>15</v>
      </c>
      <c r="E15" s="3">
        <f t="shared" si="0"/>
        <v>5</v>
      </c>
      <c r="F15" s="2">
        <v>15</v>
      </c>
      <c r="G15" s="3">
        <f t="shared" si="1"/>
        <v>6</v>
      </c>
      <c r="H15" s="2">
        <v>3</v>
      </c>
      <c r="I15" s="3">
        <f t="shared" si="2"/>
        <v>0.75</v>
      </c>
      <c r="J15" s="2">
        <v>9</v>
      </c>
      <c r="K15" s="3">
        <f t="shared" si="3"/>
        <v>6</v>
      </c>
      <c r="L15" s="2">
        <v>3</v>
      </c>
      <c r="M15" s="3">
        <f t="shared" si="4"/>
        <v>6</v>
      </c>
      <c r="N15" s="3">
        <f t="shared" si="5"/>
        <v>23.75</v>
      </c>
      <c r="O15" s="3">
        <f t="shared" si="6"/>
        <v>4.75</v>
      </c>
      <c r="P15" s="2" t="s">
        <v>78</v>
      </c>
    </row>
    <row r="16" spans="1:16" x14ac:dyDescent="0.25">
      <c r="A16" s="1">
        <v>16</v>
      </c>
      <c r="B16" s="1">
        <v>5187534657</v>
      </c>
      <c r="C16" s="1" t="s">
        <v>65</v>
      </c>
      <c r="D16" s="2">
        <v>19</v>
      </c>
      <c r="E16" s="3">
        <f t="shared" si="0"/>
        <v>6.333333333333333</v>
      </c>
      <c r="F16" s="2">
        <v>11</v>
      </c>
      <c r="G16" s="3">
        <f t="shared" si="1"/>
        <v>4.4000000000000004</v>
      </c>
      <c r="H16" s="2">
        <v>14</v>
      </c>
      <c r="I16" s="3">
        <f t="shared" si="2"/>
        <v>3.5</v>
      </c>
      <c r="J16" s="2">
        <v>8</v>
      </c>
      <c r="K16" s="3">
        <f t="shared" si="3"/>
        <v>5.333333333333333</v>
      </c>
      <c r="L16" s="2">
        <v>2</v>
      </c>
      <c r="M16" s="3">
        <f t="shared" si="4"/>
        <v>4</v>
      </c>
      <c r="N16" s="3">
        <f t="shared" si="5"/>
        <v>23.566666666666666</v>
      </c>
      <c r="O16" s="3">
        <f t="shared" si="6"/>
        <v>4.7133333333333329</v>
      </c>
      <c r="P16" s="2" t="s">
        <v>81</v>
      </c>
    </row>
    <row r="17" spans="1:16" x14ac:dyDescent="0.25">
      <c r="A17" s="1">
        <v>17</v>
      </c>
      <c r="B17" s="1">
        <v>10133</v>
      </c>
      <c r="C17" s="1" t="s">
        <v>50</v>
      </c>
      <c r="D17" s="2">
        <v>13</v>
      </c>
      <c r="E17" s="3">
        <f t="shared" si="0"/>
        <v>4.333333333333333</v>
      </c>
      <c r="F17" s="2">
        <v>8</v>
      </c>
      <c r="G17" s="3">
        <f t="shared" si="1"/>
        <v>3.2</v>
      </c>
      <c r="H17" s="2">
        <v>10</v>
      </c>
      <c r="I17" s="3">
        <f t="shared" si="2"/>
        <v>2.5</v>
      </c>
      <c r="J17" s="2">
        <v>8</v>
      </c>
      <c r="K17" s="3">
        <f t="shared" si="3"/>
        <v>5.333333333333333</v>
      </c>
      <c r="L17" s="2">
        <v>4</v>
      </c>
      <c r="M17" s="3">
        <f t="shared" si="4"/>
        <v>8</v>
      </c>
      <c r="N17" s="3">
        <f t="shared" si="5"/>
        <v>23.366666666666667</v>
      </c>
      <c r="O17" s="3">
        <f t="shared" si="6"/>
        <v>4.6733333333333338</v>
      </c>
      <c r="P17" s="2" t="s">
        <v>81</v>
      </c>
    </row>
    <row r="18" spans="1:16" x14ac:dyDescent="0.25">
      <c r="A18" s="1">
        <v>18</v>
      </c>
      <c r="B18" s="1" t="s">
        <v>68</v>
      </c>
      <c r="C18" s="1" t="s">
        <v>69</v>
      </c>
      <c r="D18" s="2">
        <v>12</v>
      </c>
      <c r="E18" s="3">
        <f t="shared" si="0"/>
        <v>4</v>
      </c>
      <c r="F18" s="2">
        <v>12</v>
      </c>
      <c r="G18" s="3">
        <f t="shared" si="1"/>
        <v>4.8000000000000007</v>
      </c>
      <c r="H18" s="2">
        <v>15</v>
      </c>
      <c r="I18" s="3">
        <f t="shared" si="2"/>
        <v>3.75</v>
      </c>
      <c r="J18" s="2">
        <v>10</v>
      </c>
      <c r="K18" s="3">
        <f t="shared" si="3"/>
        <v>6.6666666666666661</v>
      </c>
      <c r="L18" s="2">
        <v>2</v>
      </c>
      <c r="M18" s="3">
        <f t="shared" si="4"/>
        <v>4</v>
      </c>
      <c r="N18" s="3">
        <f t="shared" si="5"/>
        <v>23.216666666666669</v>
      </c>
      <c r="O18" s="3">
        <f t="shared" si="6"/>
        <v>4.6433333333333335</v>
      </c>
      <c r="P18" s="2" t="s">
        <v>81</v>
      </c>
    </row>
    <row r="19" spans="1:16" x14ac:dyDescent="0.25">
      <c r="A19" s="1">
        <v>19</v>
      </c>
      <c r="B19" s="1">
        <v>2212627054</v>
      </c>
      <c r="C19" s="1" t="s">
        <v>8</v>
      </c>
      <c r="D19" s="2">
        <v>20</v>
      </c>
      <c r="E19" s="3">
        <f t="shared" si="0"/>
        <v>6.6666666666666661</v>
      </c>
      <c r="F19" s="2">
        <v>13</v>
      </c>
      <c r="G19" s="3">
        <f t="shared" si="1"/>
        <v>5.2</v>
      </c>
      <c r="H19" s="2">
        <v>14</v>
      </c>
      <c r="I19" s="3">
        <f t="shared" si="2"/>
        <v>3.5</v>
      </c>
      <c r="J19" s="2">
        <v>8</v>
      </c>
      <c r="K19" s="3">
        <f t="shared" si="3"/>
        <v>5.333333333333333</v>
      </c>
      <c r="L19" s="2">
        <v>1</v>
      </c>
      <c r="M19" s="3">
        <f t="shared" si="4"/>
        <v>2</v>
      </c>
      <c r="N19" s="3">
        <f t="shared" si="5"/>
        <v>22.7</v>
      </c>
      <c r="O19" s="3">
        <f t="shared" si="6"/>
        <v>4.54</v>
      </c>
      <c r="P19" s="2" t="s">
        <v>78</v>
      </c>
    </row>
    <row r="20" spans="1:16" x14ac:dyDescent="0.25">
      <c r="A20" s="1">
        <v>20</v>
      </c>
      <c r="B20" s="1">
        <v>10158</v>
      </c>
      <c r="C20" s="1" t="s">
        <v>59</v>
      </c>
      <c r="D20" s="2">
        <v>13</v>
      </c>
      <c r="E20" s="3">
        <f t="shared" si="0"/>
        <v>4.333333333333333</v>
      </c>
      <c r="F20" s="2">
        <v>18</v>
      </c>
      <c r="G20" s="3">
        <f t="shared" si="1"/>
        <v>7.2</v>
      </c>
      <c r="H20" s="2">
        <v>12</v>
      </c>
      <c r="I20" s="3">
        <f t="shared" si="2"/>
        <v>3</v>
      </c>
      <c r="J20" s="2">
        <v>3</v>
      </c>
      <c r="K20" s="3">
        <f t="shared" si="3"/>
        <v>2</v>
      </c>
      <c r="L20" s="2">
        <v>3</v>
      </c>
      <c r="M20" s="3">
        <f t="shared" si="4"/>
        <v>6</v>
      </c>
      <c r="N20" s="3">
        <f t="shared" si="5"/>
        <v>22.533333333333331</v>
      </c>
      <c r="O20" s="3">
        <f t="shared" si="6"/>
        <v>4.5066666666666659</v>
      </c>
      <c r="P20" s="2" t="s">
        <v>81</v>
      </c>
    </row>
    <row r="21" spans="1:16" x14ac:dyDescent="0.25">
      <c r="A21" s="1">
        <v>21</v>
      </c>
      <c r="B21" s="1">
        <v>2212627023</v>
      </c>
      <c r="C21" s="1" t="s">
        <v>0</v>
      </c>
      <c r="D21" s="2">
        <v>20</v>
      </c>
      <c r="E21" s="3">
        <f t="shared" si="0"/>
        <v>6.6666666666666661</v>
      </c>
      <c r="F21" s="2">
        <v>10</v>
      </c>
      <c r="G21" s="3">
        <f t="shared" si="1"/>
        <v>4</v>
      </c>
      <c r="H21" s="2">
        <v>10</v>
      </c>
      <c r="I21" s="3">
        <f t="shared" si="2"/>
        <v>2.5</v>
      </c>
      <c r="J21" s="2">
        <v>8</v>
      </c>
      <c r="K21" s="3">
        <f t="shared" si="3"/>
        <v>5.333333333333333</v>
      </c>
      <c r="L21" s="2">
        <v>2</v>
      </c>
      <c r="M21" s="3">
        <f t="shared" si="4"/>
        <v>4</v>
      </c>
      <c r="N21" s="3">
        <f t="shared" si="5"/>
        <v>22.5</v>
      </c>
      <c r="O21" s="3">
        <f t="shared" si="6"/>
        <v>4.5</v>
      </c>
      <c r="P21" s="2" t="s">
        <v>78</v>
      </c>
    </row>
    <row r="22" spans="1:16" x14ac:dyDescent="0.25">
      <c r="A22" s="1">
        <v>22</v>
      </c>
      <c r="B22" s="1">
        <v>10118</v>
      </c>
      <c r="C22" s="1" t="s">
        <v>49</v>
      </c>
      <c r="D22" s="2">
        <v>13</v>
      </c>
      <c r="E22" s="3">
        <f t="shared" si="0"/>
        <v>4.333333333333333</v>
      </c>
      <c r="F22" s="2">
        <v>13</v>
      </c>
      <c r="G22" s="3">
        <f t="shared" si="1"/>
        <v>5.2</v>
      </c>
      <c r="H22" s="2">
        <v>11</v>
      </c>
      <c r="I22" s="3">
        <f t="shared" si="2"/>
        <v>2.75</v>
      </c>
      <c r="J22" s="2">
        <v>6</v>
      </c>
      <c r="K22" s="3">
        <f t="shared" si="3"/>
        <v>4</v>
      </c>
      <c r="L22" s="2">
        <v>3</v>
      </c>
      <c r="M22" s="3">
        <f t="shared" si="4"/>
        <v>6</v>
      </c>
      <c r="N22" s="3">
        <f t="shared" si="5"/>
        <v>22.283333333333331</v>
      </c>
      <c r="O22" s="3">
        <f t="shared" si="6"/>
        <v>4.4566666666666661</v>
      </c>
      <c r="P22" s="2" t="s">
        <v>81</v>
      </c>
    </row>
    <row r="23" spans="1:16" x14ac:dyDescent="0.25">
      <c r="A23" s="1">
        <v>23</v>
      </c>
      <c r="B23" s="1">
        <v>2202627046</v>
      </c>
      <c r="C23" s="1" t="s">
        <v>29</v>
      </c>
      <c r="D23" s="2">
        <v>16</v>
      </c>
      <c r="E23" s="3">
        <f t="shared" si="0"/>
        <v>5.333333333333333</v>
      </c>
      <c r="F23" s="2">
        <v>11</v>
      </c>
      <c r="G23" s="3">
        <f t="shared" si="1"/>
        <v>4.4000000000000004</v>
      </c>
      <c r="H23" s="2">
        <v>7</v>
      </c>
      <c r="I23" s="3">
        <f t="shared" si="2"/>
        <v>1.75</v>
      </c>
      <c r="J23" s="2">
        <v>13</v>
      </c>
      <c r="K23" s="3">
        <f t="shared" si="3"/>
        <v>8.6666666666666661</v>
      </c>
      <c r="L23" s="2">
        <v>1</v>
      </c>
      <c r="M23" s="3">
        <f t="shared" si="4"/>
        <v>2</v>
      </c>
      <c r="N23" s="3">
        <f t="shared" si="5"/>
        <v>22.15</v>
      </c>
      <c r="O23" s="3">
        <f t="shared" si="6"/>
        <v>4.43</v>
      </c>
      <c r="P23" s="2" t="s">
        <v>78</v>
      </c>
    </row>
    <row r="24" spans="1:16" x14ac:dyDescent="0.25">
      <c r="A24" s="1">
        <v>24</v>
      </c>
      <c r="B24" s="1">
        <v>2202627081</v>
      </c>
      <c r="C24" s="1" t="s">
        <v>25</v>
      </c>
      <c r="D24" s="2">
        <v>18</v>
      </c>
      <c r="E24" s="3">
        <f t="shared" si="0"/>
        <v>6</v>
      </c>
      <c r="F24" s="2">
        <v>12</v>
      </c>
      <c r="G24" s="3">
        <f t="shared" si="1"/>
        <v>4.8000000000000007</v>
      </c>
      <c r="H24" s="2">
        <v>8</v>
      </c>
      <c r="I24" s="3">
        <f t="shared" si="2"/>
        <v>2</v>
      </c>
      <c r="J24" s="2">
        <v>8</v>
      </c>
      <c r="K24" s="3">
        <f t="shared" si="3"/>
        <v>5.333333333333333</v>
      </c>
      <c r="L24" s="2">
        <v>2</v>
      </c>
      <c r="M24" s="3">
        <f t="shared" si="4"/>
        <v>4</v>
      </c>
      <c r="N24" s="3">
        <f t="shared" si="5"/>
        <v>22.133333333333333</v>
      </c>
      <c r="O24" s="3">
        <f t="shared" si="6"/>
        <v>4.4266666666666667</v>
      </c>
      <c r="P24" s="2" t="s">
        <v>78</v>
      </c>
    </row>
    <row r="25" spans="1:16" x14ac:dyDescent="0.25">
      <c r="A25" s="1">
        <v>25</v>
      </c>
      <c r="B25" s="1">
        <v>2212627087</v>
      </c>
      <c r="C25" s="1" t="s">
        <v>6</v>
      </c>
      <c r="D25" s="2">
        <v>20</v>
      </c>
      <c r="E25" s="3">
        <f t="shared" si="0"/>
        <v>6.6666666666666661</v>
      </c>
      <c r="F25" s="2">
        <v>15</v>
      </c>
      <c r="G25" s="3">
        <f t="shared" si="1"/>
        <v>6</v>
      </c>
      <c r="H25" s="2">
        <v>8</v>
      </c>
      <c r="I25" s="3">
        <f t="shared" si="2"/>
        <v>2</v>
      </c>
      <c r="J25" s="2">
        <v>8</v>
      </c>
      <c r="K25" s="3">
        <f t="shared" si="3"/>
        <v>5.333333333333333</v>
      </c>
      <c r="L25" s="2">
        <v>1</v>
      </c>
      <c r="M25" s="3">
        <f t="shared" si="4"/>
        <v>2</v>
      </c>
      <c r="N25" s="3">
        <f t="shared" si="5"/>
        <v>22</v>
      </c>
      <c r="O25" s="3">
        <f t="shared" si="6"/>
        <v>4.4000000000000004</v>
      </c>
      <c r="P25" s="2" t="s">
        <v>78</v>
      </c>
    </row>
    <row r="26" spans="1:16" x14ac:dyDescent="0.25">
      <c r="A26" s="1">
        <v>26</v>
      </c>
      <c r="B26" s="1">
        <v>22026270</v>
      </c>
      <c r="C26" s="1" t="s">
        <v>19</v>
      </c>
      <c r="D26" s="2">
        <v>17</v>
      </c>
      <c r="E26" s="3">
        <f t="shared" si="0"/>
        <v>5.6666666666666661</v>
      </c>
      <c r="F26" s="2">
        <v>11</v>
      </c>
      <c r="G26" s="3">
        <f t="shared" si="1"/>
        <v>4.4000000000000004</v>
      </c>
      <c r="H26" s="2">
        <v>18</v>
      </c>
      <c r="I26" s="3">
        <f t="shared" si="2"/>
        <v>4.5</v>
      </c>
      <c r="J26" s="2">
        <v>8</v>
      </c>
      <c r="K26" s="3">
        <f t="shared" si="3"/>
        <v>5.333333333333333</v>
      </c>
      <c r="L26" s="2">
        <v>1</v>
      </c>
      <c r="M26" s="3">
        <f t="shared" si="4"/>
        <v>2</v>
      </c>
      <c r="N26" s="3">
        <f t="shared" si="5"/>
        <v>21.9</v>
      </c>
      <c r="O26" s="3">
        <f t="shared" si="6"/>
        <v>4.38</v>
      </c>
      <c r="P26" s="2" t="s">
        <v>78</v>
      </c>
    </row>
    <row r="27" spans="1:16" x14ac:dyDescent="0.25">
      <c r="A27" s="1">
        <v>27</v>
      </c>
      <c r="B27" s="1">
        <v>2212627036</v>
      </c>
      <c r="C27" s="1" t="s">
        <v>10</v>
      </c>
      <c r="D27" s="2">
        <v>21</v>
      </c>
      <c r="E27" s="3">
        <f t="shared" si="0"/>
        <v>7</v>
      </c>
      <c r="F27" s="2">
        <v>15</v>
      </c>
      <c r="G27" s="3">
        <f t="shared" si="1"/>
        <v>6</v>
      </c>
      <c r="H27" s="2">
        <v>6</v>
      </c>
      <c r="I27" s="3">
        <f t="shared" si="2"/>
        <v>1.5</v>
      </c>
      <c r="J27" s="2">
        <v>8</v>
      </c>
      <c r="K27" s="3">
        <f t="shared" si="3"/>
        <v>5.333333333333333</v>
      </c>
      <c r="L27" s="2">
        <v>1</v>
      </c>
      <c r="M27" s="3">
        <f t="shared" si="4"/>
        <v>2</v>
      </c>
      <c r="N27" s="3">
        <f t="shared" si="5"/>
        <v>21.833333333333332</v>
      </c>
      <c r="O27" s="3">
        <f t="shared" si="6"/>
        <v>4.3666666666666663</v>
      </c>
      <c r="P27" s="2" t="s">
        <v>78</v>
      </c>
    </row>
    <row r="28" spans="1:16" x14ac:dyDescent="0.25">
      <c r="A28" s="1">
        <v>28</v>
      </c>
      <c r="B28" s="1">
        <v>2212627052</v>
      </c>
      <c r="C28" s="1" t="s">
        <v>5</v>
      </c>
      <c r="D28" s="2">
        <v>15</v>
      </c>
      <c r="E28" s="3">
        <f t="shared" si="0"/>
        <v>5</v>
      </c>
      <c r="F28" s="2">
        <v>15</v>
      </c>
      <c r="G28" s="3">
        <f t="shared" si="1"/>
        <v>6</v>
      </c>
      <c r="H28" s="2">
        <v>9</v>
      </c>
      <c r="I28" s="3">
        <f t="shared" si="2"/>
        <v>2.25</v>
      </c>
      <c r="J28" s="2">
        <v>9</v>
      </c>
      <c r="K28" s="3">
        <f t="shared" si="3"/>
        <v>6</v>
      </c>
      <c r="L28" s="2">
        <v>1</v>
      </c>
      <c r="M28" s="3">
        <f t="shared" si="4"/>
        <v>2</v>
      </c>
      <c r="N28" s="3">
        <f t="shared" si="5"/>
        <v>21.25</v>
      </c>
      <c r="O28" s="3">
        <f t="shared" si="6"/>
        <v>4.25</v>
      </c>
      <c r="P28" s="2" t="s">
        <v>78</v>
      </c>
    </row>
    <row r="29" spans="1:16" x14ac:dyDescent="0.25">
      <c r="A29" s="1">
        <v>29</v>
      </c>
      <c r="B29" s="1">
        <v>70167</v>
      </c>
      <c r="C29" s="1" t="s">
        <v>76</v>
      </c>
      <c r="D29" s="2">
        <v>15</v>
      </c>
      <c r="E29" s="3">
        <f t="shared" si="0"/>
        <v>5</v>
      </c>
      <c r="F29" s="2">
        <v>10</v>
      </c>
      <c r="G29" s="3">
        <f t="shared" si="1"/>
        <v>4</v>
      </c>
      <c r="H29" s="2">
        <v>11</v>
      </c>
      <c r="I29" s="3">
        <f t="shared" si="2"/>
        <v>2.75</v>
      </c>
      <c r="J29" s="2">
        <v>8</v>
      </c>
      <c r="K29" s="3">
        <f t="shared" si="3"/>
        <v>5.333333333333333</v>
      </c>
      <c r="L29" s="2">
        <v>2</v>
      </c>
      <c r="M29" s="3">
        <f t="shared" si="4"/>
        <v>4</v>
      </c>
      <c r="N29" s="3">
        <f t="shared" si="5"/>
        <v>21.083333333333332</v>
      </c>
      <c r="O29" s="3">
        <f t="shared" si="6"/>
        <v>4.2166666666666668</v>
      </c>
      <c r="P29" s="2" t="s">
        <v>81</v>
      </c>
    </row>
    <row r="30" spans="1:16" x14ac:dyDescent="0.25">
      <c r="A30" s="1">
        <v>30</v>
      </c>
      <c r="B30" s="1" t="s">
        <v>32</v>
      </c>
      <c r="C30" s="1" t="s">
        <v>33</v>
      </c>
      <c r="D30" s="2">
        <v>14</v>
      </c>
      <c r="E30" s="3">
        <f t="shared" si="0"/>
        <v>4.6666666666666661</v>
      </c>
      <c r="F30" s="2">
        <v>10</v>
      </c>
      <c r="G30" s="3">
        <f t="shared" si="1"/>
        <v>4</v>
      </c>
      <c r="H30" s="2">
        <v>3</v>
      </c>
      <c r="I30" s="3">
        <f t="shared" si="2"/>
        <v>0.75</v>
      </c>
      <c r="J30" s="2">
        <v>5</v>
      </c>
      <c r="K30" s="3">
        <f t="shared" si="3"/>
        <v>3.333333333333333</v>
      </c>
      <c r="L30" s="2">
        <v>4</v>
      </c>
      <c r="M30" s="3">
        <f t="shared" si="4"/>
        <v>8</v>
      </c>
      <c r="N30" s="3">
        <f t="shared" si="5"/>
        <v>20.75</v>
      </c>
      <c r="O30" s="3">
        <f t="shared" si="6"/>
        <v>4.1500000000000004</v>
      </c>
      <c r="P30" s="2" t="s">
        <v>78</v>
      </c>
    </row>
    <row r="31" spans="1:16" x14ac:dyDescent="0.25">
      <c r="A31" s="1">
        <v>31</v>
      </c>
      <c r="B31" s="1">
        <v>2202627043</v>
      </c>
      <c r="C31" s="1" t="s">
        <v>14</v>
      </c>
      <c r="D31" s="2">
        <v>15</v>
      </c>
      <c r="E31" s="3">
        <f t="shared" si="0"/>
        <v>5</v>
      </c>
      <c r="F31" s="2">
        <v>11</v>
      </c>
      <c r="G31" s="3">
        <f t="shared" si="1"/>
        <v>4.4000000000000004</v>
      </c>
      <c r="H31" s="2">
        <v>5</v>
      </c>
      <c r="I31" s="3">
        <f t="shared" si="2"/>
        <v>1.25</v>
      </c>
      <c r="J31" s="2">
        <v>6</v>
      </c>
      <c r="K31" s="3">
        <f t="shared" si="3"/>
        <v>4</v>
      </c>
      <c r="L31" s="2">
        <v>3</v>
      </c>
      <c r="M31" s="3">
        <f t="shared" si="4"/>
        <v>6</v>
      </c>
      <c r="N31" s="3">
        <f t="shared" si="5"/>
        <v>20.65</v>
      </c>
      <c r="O31" s="3">
        <f t="shared" si="6"/>
        <v>4.13</v>
      </c>
      <c r="P31" s="2" t="s">
        <v>78</v>
      </c>
    </row>
    <row r="32" spans="1:16" x14ac:dyDescent="0.25">
      <c r="A32" s="1">
        <v>32</v>
      </c>
      <c r="B32" s="1">
        <v>2200627057</v>
      </c>
      <c r="C32" s="1" t="s">
        <v>27</v>
      </c>
      <c r="D32" s="2">
        <v>14</v>
      </c>
      <c r="E32" s="3">
        <f t="shared" si="0"/>
        <v>4.6666666666666661</v>
      </c>
      <c r="F32" s="2">
        <v>12</v>
      </c>
      <c r="G32" s="3">
        <f t="shared" si="1"/>
        <v>4.8000000000000007</v>
      </c>
      <c r="H32" s="2">
        <v>10</v>
      </c>
      <c r="I32" s="3">
        <f t="shared" si="2"/>
        <v>2.5</v>
      </c>
      <c r="J32" s="2">
        <v>4</v>
      </c>
      <c r="K32" s="3">
        <f t="shared" si="3"/>
        <v>2.6666666666666665</v>
      </c>
      <c r="L32" s="2">
        <v>3</v>
      </c>
      <c r="M32" s="3">
        <f t="shared" si="4"/>
        <v>6</v>
      </c>
      <c r="N32" s="3">
        <f t="shared" si="5"/>
        <v>20.633333333333333</v>
      </c>
      <c r="O32" s="3">
        <f t="shared" si="6"/>
        <v>4.1266666666666669</v>
      </c>
      <c r="P32" s="2" t="s">
        <v>78</v>
      </c>
    </row>
    <row r="33" spans="1:16" x14ac:dyDescent="0.25">
      <c r="A33" s="1">
        <v>33</v>
      </c>
      <c r="B33" s="1">
        <v>2202627059</v>
      </c>
      <c r="C33" s="1" t="s">
        <v>21</v>
      </c>
      <c r="D33" s="2">
        <v>11</v>
      </c>
      <c r="E33" s="3">
        <f t="shared" ref="E33:E64" si="7">10/30*D33</f>
        <v>3.6666666666666665</v>
      </c>
      <c r="F33" s="2">
        <v>12</v>
      </c>
      <c r="G33" s="3">
        <f t="shared" ref="G33:G64" si="8">10/25*F33</f>
        <v>4.8000000000000007</v>
      </c>
      <c r="H33" s="2">
        <v>13</v>
      </c>
      <c r="I33" s="3">
        <f t="shared" ref="I33:I64" si="9">10/40*H33</f>
        <v>3.25</v>
      </c>
      <c r="J33" s="2">
        <v>4</v>
      </c>
      <c r="K33" s="3">
        <f t="shared" ref="K33:K64" si="10">10/15*J33</f>
        <v>2.6666666666666665</v>
      </c>
      <c r="L33" s="2">
        <v>3</v>
      </c>
      <c r="M33" s="3">
        <f t="shared" ref="M33:M64" si="11">10/5*L33</f>
        <v>6</v>
      </c>
      <c r="N33" s="3">
        <f t="shared" ref="N33:N64" si="12">SUM(E33,G33,I33,K33,M33)</f>
        <v>20.383333333333333</v>
      </c>
      <c r="O33" s="3">
        <f t="shared" ref="O33:O69" si="13">AVERAGE(E33,G33,I33,K33,M33)</f>
        <v>4.0766666666666662</v>
      </c>
      <c r="P33" s="2" t="s">
        <v>78</v>
      </c>
    </row>
    <row r="34" spans="1:16" x14ac:dyDescent="0.25">
      <c r="A34" s="1">
        <v>34</v>
      </c>
      <c r="B34" s="1">
        <v>2202627026</v>
      </c>
      <c r="C34" s="1" t="s">
        <v>26</v>
      </c>
      <c r="D34" s="2">
        <v>16</v>
      </c>
      <c r="E34" s="3">
        <f t="shared" si="7"/>
        <v>5.333333333333333</v>
      </c>
      <c r="F34" s="2">
        <v>16</v>
      </c>
      <c r="G34" s="3">
        <f t="shared" si="8"/>
        <v>6.4</v>
      </c>
      <c r="H34" s="2">
        <v>7</v>
      </c>
      <c r="I34" s="3">
        <f t="shared" si="9"/>
        <v>1.75</v>
      </c>
      <c r="J34" s="2">
        <v>7</v>
      </c>
      <c r="K34" s="3">
        <f t="shared" si="10"/>
        <v>4.6666666666666661</v>
      </c>
      <c r="L34" s="2">
        <v>1</v>
      </c>
      <c r="M34" s="3">
        <f t="shared" si="11"/>
        <v>2</v>
      </c>
      <c r="N34" s="3">
        <f t="shared" si="12"/>
        <v>20.149999999999999</v>
      </c>
      <c r="O34" s="3">
        <f t="shared" si="13"/>
        <v>4.0299999999999994</v>
      </c>
      <c r="P34" s="2" t="s">
        <v>78</v>
      </c>
    </row>
    <row r="35" spans="1:16" x14ac:dyDescent="0.25">
      <c r="A35" s="1">
        <v>35</v>
      </c>
      <c r="B35" s="1" t="s">
        <v>52</v>
      </c>
      <c r="C35" s="1" t="s">
        <v>75</v>
      </c>
      <c r="D35" s="2">
        <v>12</v>
      </c>
      <c r="E35" s="3">
        <f t="shared" si="7"/>
        <v>4</v>
      </c>
      <c r="F35" s="2">
        <v>9</v>
      </c>
      <c r="G35" s="3">
        <f t="shared" si="8"/>
        <v>3.6</v>
      </c>
      <c r="H35" s="2">
        <v>11</v>
      </c>
      <c r="I35" s="3">
        <f t="shared" si="9"/>
        <v>2.75</v>
      </c>
      <c r="J35" s="2">
        <v>8</v>
      </c>
      <c r="K35" s="3">
        <f t="shared" si="10"/>
        <v>5.333333333333333</v>
      </c>
      <c r="L35" s="2">
        <v>2</v>
      </c>
      <c r="M35" s="3">
        <f t="shared" si="11"/>
        <v>4</v>
      </c>
      <c r="N35" s="3">
        <f t="shared" si="12"/>
        <v>19.683333333333334</v>
      </c>
      <c r="O35" s="3">
        <f t="shared" si="13"/>
        <v>3.9366666666666665</v>
      </c>
      <c r="P35" s="2" t="s">
        <v>81</v>
      </c>
    </row>
    <row r="36" spans="1:16" x14ac:dyDescent="0.25">
      <c r="A36" s="1">
        <v>36</v>
      </c>
      <c r="B36" s="1">
        <v>2212627024</v>
      </c>
      <c r="C36" s="1" t="s">
        <v>2</v>
      </c>
      <c r="D36" s="2">
        <v>19</v>
      </c>
      <c r="E36" s="3">
        <f t="shared" si="7"/>
        <v>6.333333333333333</v>
      </c>
      <c r="F36" s="2">
        <v>17</v>
      </c>
      <c r="G36" s="3">
        <f t="shared" si="8"/>
        <v>6.8000000000000007</v>
      </c>
      <c r="H36" s="2">
        <v>10</v>
      </c>
      <c r="I36" s="3">
        <f t="shared" si="9"/>
        <v>2.5</v>
      </c>
      <c r="J36" s="2">
        <v>6</v>
      </c>
      <c r="K36" s="3">
        <f t="shared" si="10"/>
        <v>4</v>
      </c>
      <c r="L36" s="2">
        <v>0</v>
      </c>
      <c r="M36" s="3">
        <f t="shared" si="11"/>
        <v>0</v>
      </c>
      <c r="N36" s="3">
        <f t="shared" si="12"/>
        <v>19.633333333333333</v>
      </c>
      <c r="O36" s="3">
        <f t="shared" si="13"/>
        <v>3.9266666666666667</v>
      </c>
      <c r="P36" s="2" t="s">
        <v>78</v>
      </c>
    </row>
    <row r="37" spans="1:16" x14ac:dyDescent="0.25">
      <c r="A37" s="1">
        <v>37</v>
      </c>
      <c r="B37" s="1" t="s">
        <v>44</v>
      </c>
      <c r="C37" s="1" t="s">
        <v>45</v>
      </c>
      <c r="D37" s="2">
        <v>16</v>
      </c>
      <c r="E37" s="3">
        <f t="shared" si="7"/>
        <v>5.333333333333333</v>
      </c>
      <c r="F37" s="2">
        <v>13</v>
      </c>
      <c r="G37" s="3">
        <f t="shared" si="8"/>
        <v>5.2</v>
      </c>
      <c r="H37" s="2">
        <v>12</v>
      </c>
      <c r="I37" s="3">
        <f t="shared" si="9"/>
        <v>3</v>
      </c>
      <c r="J37" s="2">
        <v>6</v>
      </c>
      <c r="K37" s="3">
        <f t="shared" si="10"/>
        <v>4</v>
      </c>
      <c r="L37" s="2">
        <v>1</v>
      </c>
      <c r="M37" s="3">
        <f t="shared" si="11"/>
        <v>2</v>
      </c>
      <c r="N37" s="3">
        <f t="shared" si="12"/>
        <v>19.533333333333331</v>
      </c>
      <c r="O37" s="3">
        <f t="shared" si="13"/>
        <v>3.9066666666666663</v>
      </c>
      <c r="P37" s="2" t="s">
        <v>80</v>
      </c>
    </row>
    <row r="38" spans="1:16" x14ac:dyDescent="0.25">
      <c r="A38" s="1">
        <v>38</v>
      </c>
      <c r="B38" s="1">
        <v>3282627008</v>
      </c>
      <c r="C38" s="1" t="s">
        <v>39</v>
      </c>
      <c r="D38" s="2">
        <v>16</v>
      </c>
      <c r="E38" s="3">
        <f t="shared" si="7"/>
        <v>5.333333333333333</v>
      </c>
      <c r="F38" s="2">
        <v>9</v>
      </c>
      <c r="G38" s="3">
        <f t="shared" si="8"/>
        <v>3.6</v>
      </c>
      <c r="H38" s="2">
        <v>10</v>
      </c>
      <c r="I38" s="3">
        <f t="shared" si="9"/>
        <v>2.5</v>
      </c>
      <c r="J38" s="2">
        <v>6</v>
      </c>
      <c r="K38" s="3">
        <f t="shared" si="10"/>
        <v>4</v>
      </c>
      <c r="L38" s="2">
        <v>2</v>
      </c>
      <c r="M38" s="3">
        <f t="shared" si="11"/>
        <v>4</v>
      </c>
      <c r="N38" s="3">
        <f t="shared" si="12"/>
        <v>19.433333333333334</v>
      </c>
      <c r="O38" s="3">
        <f t="shared" si="13"/>
        <v>3.8866666666666667</v>
      </c>
      <c r="P38" s="2" t="s">
        <v>80</v>
      </c>
    </row>
    <row r="39" spans="1:16" x14ac:dyDescent="0.25">
      <c r="A39" s="1">
        <v>39</v>
      </c>
      <c r="B39" s="1">
        <v>2202627062</v>
      </c>
      <c r="C39" s="1" t="s">
        <v>24</v>
      </c>
      <c r="D39" s="2">
        <v>14</v>
      </c>
      <c r="E39" s="3">
        <f t="shared" si="7"/>
        <v>4.6666666666666661</v>
      </c>
      <c r="F39" s="2">
        <v>9</v>
      </c>
      <c r="G39" s="3">
        <f t="shared" si="8"/>
        <v>3.6</v>
      </c>
      <c r="H39" s="2">
        <v>9</v>
      </c>
      <c r="I39" s="3">
        <f t="shared" si="9"/>
        <v>2.25</v>
      </c>
      <c r="J39" s="2">
        <v>4</v>
      </c>
      <c r="K39" s="3">
        <f t="shared" si="10"/>
        <v>2.6666666666666665</v>
      </c>
      <c r="L39" s="2">
        <v>3</v>
      </c>
      <c r="M39" s="3">
        <f t="shared" si="11"/>
        <v>6</v>
      </c>
      <c r="N39" s="3">
        <f t="shared" si="12"/>
        <v>19.18333333333333</v>
      </c>
      <c r="O39" s="3">
        <f t="shared" si="13"/>
        <v>3.836666666666666</v>
      </c>
      <c r="P39" s="2" t="s">
        <v>78</v>
      </c>
    </row>
    <row r="40" spans="1:16" x14ac:dyDescent="0.25">
      <c r="A40" s="1">
        <v>40</v>
      </c>
      <c r="B40" s="1">
        <v>10117</v>
      </c>
      <c r="C40" s="1" t="s">
        <v>74</v>
      </c>
      <c r="D40" s="2">
        <v>15</v>
      </c>
      <c r="E40" s="3">
        <f t="shared" si="7"/>
        <v>5</v>
      </c>
      <c r="F40" s="2">
        <v>9</v>
      </c>
      <c r="G40" s="3">
        <f t="shared" si="8"/>
        <v>3.6</v>
      </c>
      <c r="H40" s="2">
        <v>7</v>
      </c>
      <c r="I40" s="3">
        <f t="shared" si="9"/>
        <v>1.75</v>
      </c>
      <c r="J40" s="2">
        <v>7</v>
      </c>
      <c r="K40" s="3">
        <f t="shared" si="10"/>
        <v>4.6666666666666661</v>
      </c>
      <c r="L40" s="2">
        <v>2</v>
      </c>
      <c r="M40" s="3">
        <f t="shared" si="11"/>
        <v>4</v>
      </c>
      <c r="N40" s="3">
        <f t="shared" si="12"/>
        <v>19.016666666666666</v>
      </c>
      <c r="O40" s="3">
        <f t="shared" si="13"/>
        <v>3.8033333333333332</v>
      </c>
      <c r="P40" s="2" t="s">
        <v>81</v>
      </c>
    </row>
    <row r="41" spans="1:16" x14ac:dyDescent="0.25">
      <c r="A41" s="1">
        <v>41</v>
      </c>
      <c r="B41" s="1">
        <v>2202627047</v>
      </c>
      <c r="C41" s="1" t="s">
        <v>17</v>
      </c>
      <c r="D41" s="2">
        <v>15</v>
      </c>
      <c r="E41" s="3">
        <f t="shared" si="7"/>
        <v>5</v>
      </c>
      <c r="F41" s="2">
        <v>16</v>
      </c>
      <c r="G41" s="3">
        <f t="shared" si="8"/>
        <v>6.4</v>
      </c>
      <c r="H41" s="2">
        <v>12</v>
      </c>
      <c r="I41" s="3">
        <f t="shared" si="9"/>
        <v>3</v>
      </c>
      <c r="J41" s="2">
        <v>6</v>
      </c>
      <c r="K41" s="3">
        <f t="shared" si="10"/>
        <v>4</v>
      </c>
      <c r="L41" s="2">
        <v>0</v>
      </c>
      <c r="M41" s="3">
        <f t="shared" si="11"/>
        <v>0</v>
      </c>
      <c r="N41" s="3">
        <f t="shared" si="12"/>
        <v>18.399999999999999</v>
      </c>
      <c r="O41" s="3">
        <f t="shared" si="13"/>
        <v>3.6799999999999997</v>
      </c>
      <c r="P41" s="2" t="s">
        <v>78</v>
      </c>
    </row>
    <row r="42" spans="1:16" x14ac:dyDescent="0.25">
      <c r="A42" s="1">
        <v>42</v>
      </c>
      <c r="B42" s="1" t="s">
        <v>42</v>
      </c>
      <c r="C42" s="1" t="s">
        <v>43</v>
      </c>
      <c r="D42" s="2">
        <v>14</v>
      </c>
      <c r="E42" s="3">
        <f t="shared" si="7"/>
        <v>4.6666666666666661</v>
      </c>
      <c r="F42" s="2">
        <v>9</v>
      </c>
      <c r="G42" s="3">
        <f t="shared" si="8"/>
        <v>3.6</v>
      </c>
      <c r="H42" s="2">
        <v>5</v>
      </c>
      <c r="I42" s="3">
        <f t="shared" si="9"/>
        <v>1.25</v>
      </c>
      <c r="J42" s="2">
        <v>4</v>
      </c>
      <c r="K42" s="3">
        <f t="shared" si="10"/>
        <v>2.6666666666666665</v>
      </c>
      <c r="L42" s="2">
        <v>3</v>
      </c>
      <c r="M42" s="3">
        <f t="shared" si="11"/>
        <v>6</v>
      </c>
      <c r="N42" s="3">
        <f t="shared" si="12"/>
        <v>18.18333333333333</v>
      </c>
      <c r="O42" s="3">
        <f t="shared" si="13"/>
        <v>3.6366666666666658</v>
      </c>
      <c r="P42" s="2" t="s">
        <v>80</v>
      </c>
    </row>
    <row r="43" spans="1:16" x14ac:dyDescent="0.25">
      <c r="A43" s="1">
        <v>43</v>
      </c>
      <c r="B43" s="1">
        <v>2212627006</v>
      </c>
      <c r="C43" s="1" t="s">
        <v>7</v>
      </c>
      <c r="D43" s="2">
        <v>15</v>
      </c>
      <c r="E43" s="3">
        <f t="shared" si="7"/>
        <v>5</v>
      </c>
      <c r="F43" s="2">
        <v>12</v>
      </c>
      <c r="G43" s="3">
        <f t="shared" si="8"/>
        <v>4.8000000000000007</v>
      </c>
      <c r="H43" s="2">
        <v>6</v>
      </c>
      <c r="I43" s="3">
        <f t="shared" si="9"/>
        <v>1.5</v>
      </c>
      <c r="J43" s="2">
        <v>3</v>
      </c>
      <c r="K43" s="3">
        <f t="shared" si="10"/>
        <v>2</v>
      </c>
      <c r="L43" s="2">
        <v>2</v>
      </c>
      <c r="M43" s="3">
        <f t="shared" si="11"/>
        <v>4</v>
      </c>
      <c r="N43" s="3">
        <f t="shared" si="12"/>
        <v>17.3</v>
      </c>
      <c r="O43" s="3">
        <f t="shared" si="13"/>
        <v>3.46</v>
      </c>
      <c r="P43" s="2" t="s">
        <v>78</v>
      </c>
    </row>
    <row r="44" spans="1:16" x14ac:dyDescent="0.25">
      <c r="A44" s="1">
        <v>44</v>
      </c>
      <c r="B44" s="1">
        <v>2212627086</v>
      </c>
      <c r="C44" s="1" t="s">
        <v>4</v>
      </c>
      <c r="D44" s="2">
        <v>15</v>
      </c>
      <c r="E44" s="3">
        <f t="shared" si="7"/>
        <v>5</v>
      </c>
      <c r="F44" s="2">
        <v>10</v>
      </c>
      <c r="G44" s="3">
        <f t="shared" si="8"/>
        <v>4</v>
      </c>
      <c r="H44" s="2">
        <v>11</v>
      </c>
      <c r="I44" s="3">
        <f t="shared" si="9"/>
        <v>2.75</v>
      </c>
      <c r="J44" s="2">
        <v>5</v>
      </c>
      <c r="K44" s="3">
        <f t="shared" si="10"/>
        <v>3.333333333333333</v>
      </c>
      <c r="L44" s="2">
        <v>1</v>
      </c>
      <c r="M44" s="3">
        <f t="shared" si="11"/>
        <v>2</v>
      </c>
      <c r="N44" s="3">
        <f t="shared" si="12"/>
        <v>17.083333333333332</v>
      </c>
      <c r="O44" s="3">
        <f t="shared" si="13"/>
        <v>3.4166666666666665</v>
      </c>
      <c r="P44" s="2" t="s">
        <v>78</v>
      </c>
    </row>
    <row r="45" spans="1:16" x14ac:dyDescent="0.25">
      <c r="A45" s="1">
        <v>45</v>
      </c>
      <c r="B45" s="1">
        <v>3392627019</v>
      </c>
      <c r="C45" s="1" t="s">
        <v>41</v>
      </c>
      <c r="D45" s="2">
        <v>11</v>
      </c>
      <c r="E45" s="3">
        <f t="shared" si="7"/>
        <v>3.6666666666666665</v>
      </c>
      <c r="F45" s="2">
        <v>10</v>
      </c>
      <c r="G45" s="3">
        <f t="shared" si="8"/>
        <v>4</v>
      </c>
      <c r="H45" s="2">
        <v>8</v>
      </c>
      <c r="I45" s="3">
        <f t="shared" si="9"/>
        <v>2</v>
      </c>
      <c r="J45" s="2">
        <v>8</v>
      </c>
      <c r="K45" s="3">
        <f t="shared" si="10"/>
        <v>5.333333333333333</v>
      </c>
      <c r="L45" s="2">
        <v>1</v>
      </c>
      <c r="M45" s="3">
        <f t="shared" si="11"/>
        <v>2</v>
      </c>
      <c r="N45" s="3">
        <f t="shared" si="12"/>
        <v>17</v>
      </c>
      <c r="O45" s="3">
        <f t="shared" si="13"/>
        <v>3.4</v>
      </c>
      <c r="P45" s="2" t="s">
        <v>80</v>
      </c>
    </row>
    <row r="46" spans="1:16" x14ac:dyDescent="0.25">
      <c r="A46" s="1">
        <v>46</v>
      </c>
      <c r="B46" s="1">
        <v>8212627016</v>
      </c>
      <c r="C46" s="1" t="s">
        <v>34</v>
      </c>
      <c r="D46" s="2">
        <v>18</v>
      </c>
      <c r="E46" s="3">
        <f t="shared" si="7"/>
        <v>6</v>
      </c>
      <c r="F46" s="2">
        <v>9</v>
      </c>
      <c r="G46" s="3">
        <f t="shared" si="8"/>
        <v>3.6</v>
      </c>
      <c r="H46" s="2">
        <v>8</v>
      </c>
      <c r="I46" s="3">
        <f t="shared" si="9"/>
        <v>2</v>
      </c>
      <c r="J46" s="2">
        <v>2</v>
      </c>
      <c r="K46" s="3">
        <f t="shared" si="10"/>
        <v>1.3333333333333333</v>
      </c>
      <c r="L46" s="2">
        <v>2</v>
      </c>
      <c r="M46" s="3">
        <f t="shared" si="11"/>
        <v>4</v>
      </c>
      <c r="N46" s="3">
        <f t="shared" si="12"/>
        <v>16.933333333333334</v>
      </c>
      <c r="O46" s="3">
        <f t="shared" si="13"/>
        <v>3.3866666666666667</v>
      </c>
      <c r="P46" s="2" t="s">
        <v>79</v>
      </c>
    </row>
    <row r="47" spans="1:16" x14ac:dyDescent="0.25">
      <c r="A47" s="1">
        <v>47</v>
      </c>
      <c r="B47" s="1">
        <v>8202627010</v>
      </c>
      <c r="C47" s="1" t="s">
        <v>35</v>
      </c>
      <c r="D47" s="2">
        <v>9</v>
      </c>
      <c r="E47" s="3">
        <f t="shared" si="7"/>
        <v>3</v>
      </c>
      <c r="F47" s="2">
        <v>10</v>
      </c>
      <c r="G47" s="3">
        <f t="shared" si="8"/>
        <v>4</v>
      </c>
      <c r="H47" s="2">
        <v>10</v>
      </c>
      <c r="I47" s="3">
        <f t="shared" si="9"/>
        <v>2.5</v>
      </c>
      <c r="J47" s="2">
        <v>5</v>
      </c>
      <c r="K47" s="3">
        <f t="shared" si="10"/>
        <v>3.333333333333333</v>
      </c>
      <c r="L47" s="2">
        <v>2</v>
      </c>
      <c r="M47" s="3">
        <f t="shared" si="11"/>
        <v>4</v>
      </c>
      <c r="N47" s="3">
        <f t="shared" si="12"/>
        <v>16.833333333333332</v>
      </c>
      <c r="O47" s="3">
        <f t="shared" si="13"/>
        <v>3.3666666666666663</v>
      </c>
      <c r="P47" s="2" t="s">
        <v>79</v>
      </c>
    </row>
    <row r="48" spans="1:16" x14ac:dyDescent="0.25">
      <c r="A48" s="1">
        <v>48</v>
      </c>
      <c r="B48" s="1">
        <v>8102670123</v>
      </c>
      <c r="C48" s="1" t="s">
        <v>37</v>
      </c>
      <c r="D48" s="2">
        <v>14</v>
      </c>
      <c r="E48" s="3">
        <f t="shared" si="7"/>
        <v>4.6666666666666661</v>
      </c>
      <c r="F48" s="2">
        <v>9</v>
      </c>
      <c r="G48" s="3">
        <f t="shared" si="8"/>
        <v>3.6</v>
      </c>
      <c r="H48" s="2">
        <v>10</v>
      </c>
      <c r="I48" s="3">
        <f t="shared" si="9"/>
        <v>2.5</v>
      </c>
      <c r="J48" s="2">
        <v>6</v>
      </c>
      <c r="K48" s="3">
        <f t="shared" si="10"/>
        <v>4</v>
      </c>
      <c r="L48" s="2">
        <v>1</v>
      </c>
      <c r="M48" s="3">
        <f t="shared" si="11"/>
        <v>2</v>
      </c>
      <c r="N48" s="3">
        <f t="shared" si="12"/>
        <v>16.766666666666666</v>
      </c>
      <c r="O48" s="3">
        <f t="shared" si="13"/>
        <v>3.3533333333333331</v>
      </c>
      <c r="P48" s="2" t="s">
        <v>79</v>
      </c>
    </row>
    <row r="49" spans="1:16" x14ac:dyDescent="0.25">
      <c r="A49" s="1">
        <v>49</v>
      </c>
      <c r="B49" s="1">
        <v>5181046318</v>
      </c>
      <c r="C49" s="1" t="s">
        <v>57</v>
      </c>
      <c r="D49" s="2">
        <v>13</v>
      </c>
      <c r="E49" s="3">
        <f t="shared" si="7"/>
        <v>4.333333333333333</v>
      </c>
      <c r="F49" s="2">
        <v>15</v>
      </c>
      <c r="G49" s="3">
        <f t="shared" si="8"/>
        <v>6</v>
      </c>
      <c r="H49" s="2">
        <v>7</v>
      </c>
      <c r="I49" s="3">
        <f t="shared" si="9"/>
        <v>1.75</v>
      </c>
      <c r="J49" s="2">
        <v>4</v>
      </c>
      <c r="K49" s="3">
        <f t="shared" si="10"/>
        <v>2.6666666666666665</v>
      </c>
      <c r="L49" s="2">
        <v>1</v>
      </c>
      <c r="M49" s="3">
        <f t="shared" si="11"/>
        <v>2</v>
      </c>
      <c r="N49" s="3">
        <f t="shared" si="12"/>
        <v>16.75</v>
      </c>
      <c r="O49" s="3">
        <f t="shared" si="13"/>
        <v>3.35</v>
      </c>
      <c r="P49" s="2" t="s">
        <v>81</v>
      </c>
    </row>
    <row r="50" spans="1:16" x14ac:dyDescent="0.25">
      <c r="A50" s="1">
        <v>50</v>
      </c>
      <c r="B50" s="1">
        <v>2202627026</v>
      </c>
      <c r="C50" s="1" t="s">
        <v>20</v>
      </c>
      <c r="D50" s="2">
        <v>13</v>
      </c>
      <c r="E50" s="3">
        <f t="shared" si="7"/>
        <v>4.333333333333333</v>
      </c>
      <c r="F50" s="2">
        <v>9</v>
      </c>
      <c r="G50" s="3">
        <f t="shared" si="8"/>
        <v>3.6</v>
      </c>
      <c r="H50" s="2">
        <v>11</v>
      </c>
      <c r="I50" s="3">
        <f t="shared" si="9"/>
        <v>2.75</v>
      </c>
      <c r="J50" s="2">
        <v>6</v>
      </c>
      <c r="K50" s="3">
        <f t="shared" si="10"/>
        <v>4</v>
      </c>
      <c r="L50" s="2">
        <v>1</v>
      </c>
      <c r="M50" s="3">
        <f t="shared" si="11"/>
        <v>2</v>
      </c>
      <c r="N50" s="3">
        <f t="shared" si="12"/>
        <v>16.683333333333334</v>
      </c>
      <c r="O50" s="3">
        <f t="shared" si="13"/>
        <v>3.3366666666666669</v>
      </c>
      <c r="P50" s="2" t="s">
        <v>78</v>
      </c>
    </row>
    <row r="51" spans="1:16" x14ac:dyDescent="0.25">
      <c r="A51" s="1">
        <v>51</v>
      </c>
      <c r="B51" s="1">
        <v>5186555924</v>
      </c>
      <c r="C51" s="1" t="s">
        <v>56</v>
      </c>
      <c r="D51" s="2">
        <v>13</v>
      </c>
      <c r="E51" s="3">
        <f t="shared" si="7"/>
        <v>4.333333333333333</v>
      </c>
      <c r="F51" s="2">
        <v>7</v>
      </c>
      <c r="G51" s="3">
        <f t="shared" si="8"/>
        <v>2.8000000000000003</v>
      </c>
      <c r="H51" s="2">
        <v>11</v>
      </c>
      <c r="I51" s="3">
        <f t="shared" si="9"/>
        <v>2.75</v>
      </c>
      <c r="J51" s="2">
        <v>4</v>
      </c>
      <c r="K51" s="3">
        <f t="shared" si="10"/>
        <v>2.6666666666666665</v>
      </c>
      <c r="L51" s="2">
        <v>2</v>
      </c>
      <c r="M51" s="3">
        <f t="shared" si="11"/>
        <v>4</v>
      </c>
      <c r="N51" s="3">
        <f t="shared" si="12"/>
        <v>16.549999999999997</v>
      </c>
      <c r="O51" s="3">
        <f t="shared" si="13"/>
        <v>3.3099999999999996</v>
      </c>
      <c r="P51" s="2" t="s">
        <v>81</v>
      </c>
    </row>
    <row r="52" spans="1:16" x14ac:dyDescent="0.25">
      <c r="A52" s="1">
        <v>52</v>
      </c>
      <c r="B52" s="1">
        <v>3102627028</v>
      </c>
      <c r="C52" s="1" t="s">
        <v>46</v>
      </c>
      <c r="D52" s="2">
        <v>12</v>
      </c>
      <c r="E52" s="3">
        <f t="shared" si="7"/>
        <v>4</v>
      </c>
      <c r="F52" s="2">
        <v>9</v>
      </c>
      <c r="G52" s="3">
        <f t="shared" si="8"/>
        <v>3.6</v>
      </c>
      <c r="H52" s="2">
        <v>9</v>
      </c>
      <c r="I52" s="3">
        <f t="shared" si="9"/>
        <v>2.25</v>
      </c>
      <c r="J52" s="2">
        <v>7</v>
      </c>
      <c r="K52" s="3">
        <f t="shared" si="10"/>
        <v>4.6666666666666661</v>
      </c>
      <c r="L52" s="2">
        <v>1</v>
      </c>
      <c r="M52" s="3">
        <f t="shared" si="11"/>
        <v>2</v>
      </c>
      <c r="N52" s="3">
        <f t="shared" si="12"/>
        <v>16.516666666666666</v>
      </c>
      <c r="O52" s="3">
        <f t="shared" si="13"/>
        <v>3.3033333333333332</v>
      </c>
      <c r="P52" s="2" t="s">
        <v>80</v>
      </c>
    </row>
    <row r="53" spans="1:16" x14ac:dyDescent="0.25">
      <c r="A53" s="1">
        <v>53</v>
      </c>
      <c r="B53" s="1">
        <v>2212627083</v>
      </c>
      <c r="C53" s="1" t="s">
        <v>3</v>
      </c>
      <c r="D53" s="2">
        <v>11</v>
      </c>
      <c r="E53" s="3">
        <f t="shared" si="7"/>
        <v>3.6666666666666665</v>
      </c>
      <c r="F53" s="2">
        <v>12</v>
      </c>
      <c r="G53" s="3">
        <f t="shared" si="8"/>
        <v>4.8000000000000007</v>
      </c>
      <c r="H53" s="2">
        <v>7</v>
      </c>
      <c r="I53" s="3">
        <f t="shared" si="9"/>
        <v>1.75</v>
      </c>
      <c r="J53" s="2">
        <v>9</v>
      </c>
      <c r="K53" s="3">
        <f t="shared" si="10"/>
        <v>6</v>
      </c>
      <c r="L53" s="2">
        <v>0</v>
      </c>
      <c r="M53" s="3">
        <f t="shared" si="11"/>
        <v>0</v>
      </c>
      <c r="N53" s="3">
        <f t="shared" si="12"/>
        <v>16.216666666666669</v>
      </c>
      <c r="O53" s="3">
        <f t="shared" si="13"/>
        <v>3.2433333333333336</v>
      </c>
      <c r="P53" s="2" t="s">
        <v>78</v>
      </c>
    </row>
    <row r="54" spans="1:16" x14ac:dyDescent="0.25">
      <c r="A54" s="1">
        <v>54</v>
      </c>
      <c r="B54" s="1">
        <v>2212627063</v>
      </c>
      <c r="C54" s="1" t="s">
        <v>9</v>
      </c>
      <c r="D54" s="2">
        <v>9</v>
      </c>
      <c r="E54" s="3">
        <f t="shared" si="7"/>
        <v>3</v>
      </c>
      <c r="F54" s="2">
        <v>10</v>
      </c>
      <c r="G54" s="3">
        <f t="shared" si="8"/>
        <v>4</v>
      </c>
      <c r="H54" s="2">
        <v>10</v>
      </c>
      <c r="I54" s="3">
        <f t="shared" si="9"/>
        <v>2.5</v>
      </c>
      <c r="J54" s="2">
        <v>7</v>
      </c>
      <c r="K54" s="3">
        <f t="shared" si="10"/>
        <v>4.6666666666666661</v>
      </c>
      <c r="L54" s="2">
        <v>1</v>
      </c>
      <c r="M54" s="3">
        <f t="shared" si="11"/>
        <v>2</v>
      </c>
      <c r="N54" s="3">
        <f t="shared" si="12"/>
        <v>16.166666666666664</v>
      </c>
      <c r="O54" s="3">
        <f t="shared" si="13"/>
        <v>3.2333333333333329</v>
      </c>
      <c r="P54" s="2" t="s">
        <v>78</v>
      </c>
    </row>
    <row r="55" spans="1:16" x14ac:dyDescent="0.25">
      <c r="A55" s="1">
        <v>55</v>
      </c>
      <c r="B55" s="1" t="s">
        <v>63</v>
      </c>
      <c r="C55" s="1" t="s">
        <v>64</v>
      </c>
      <c r="D55" s="2">
        <v>14</v>
      </c>
      <c r="E55" s="3">
        <f t="shared" si="7"/>
        <v>4.6666666666666661</v>
      </c>
      <c r="F55" s="2">
        <v>10</v>
      </c>
      <c r="G55" s="3">
        <f t="shared" si="8"/>
        <v>4</v>
      </c>
      <c r="H55" s="2">
        <v>10</v>
      </c>
      <c r="I55" s="3">
        <f t="shared" si="9"/>
        <v>2.5</v>
      </c>
      <c r="J55" s="2">
        <v>3</v>
      </c>
      <c r="K55" s="3">
        <f t="shared" si="10"/>
        <v>2</v>
      </c>
      <c r="L55" s="2">
        <v>1</v>
      </c>
      <c r="M55" s="3">
        <f t="shared" si="11"/>
        <v>2</v>
      </c>
      <c r="N55" s="3">
        <f t="shared" si="12"/>
        <v>15.166666666666666</v>
      </c>
      <c r="O55" s="3">
        <f t="shared" si="13"/>
        <v>3.0333333333333332</v>
      </c>
      <c r="P55" s="2" t="s">
        <v>81</v>
      </c>
    </row>
    <row r="56" spans="1:16" x14ac:dyDescent="0.25">
      <c r="A56" s="1">
        <v>56</v>
      </c>
      <c r="B56" s="1">
        <v>10144</v>
      </c>
      <c r="C56" s="1" t="s">
        <v>62</v>
      </c>
      <c r="D56" s="2">
        <v>15</v>
      </c>
      <c r="E56" s="3">
        <f t="shared" si="7"/>
        <v>5</v>
      </c>
      <c r="F56" s="2">
        <v>9</v>
      </c>
      <c r="G56" s="3">
        <f t="shared" si="8"/>
        <v>3.6</v>
      </c>
      <c r="H56" s="2">
        <v>10</v>
      </c>
      <c r="I56" s="3">
        <f t="shared" si="9"/>
        <v>2.5</v>
      </c>
      <c r="J56" s="2">
        <v>3</v>
      </c>
      <c r="K56" s="3">
        <f t="shared" si="10"/>
        <v>2</v>
      </c>
      <c r="L56" s="2">
        <v>1</v>
      </c>
      <c r="M56" s="3">
        <f t="shared" si="11"/>
        <v>2</v>
      </c>
      <c r="N56" s="3">
        <f t="shared" si="12"/>
        <v>15.1</v>
      </c>
      <c r="O56" s="3">
        <f t="shared" si="13"/>
        <v>3.02</v>
      </c>
      <c r="P56" s="2" t="s">
        <v>81</v>
      </c>
    </row>
    <row r="57" spans="1:16" x14ac:dyDescent="0.25">
      <c r="A57" s="1">
        <v>57</v>
      </c>
      <c r="B57" s="1">
        <v>31126</v>
      </c>
      <c r="C57" s="1" t="s">
        <v>40</v>
      </c>
      <c r="D57" s="2">
        <v>11</v>
      </c>
      <c r="E57" s="3">
        <f t="shared" si="7"/>
        <v>3.6666666666666665</v>
      </c>
      <c r="F57" s="2">
        <v>9</v>
      </c>
      <c r="G57" s="3">
        <f t="shared" si="8"/>
        <v>3.6</v>
      </c>
      <c r="H57" s="2">
        <v>10</v>
      </c>
      <c r="I57" s="3">
        <f t="shared" si="9"/>
        <v>2.5</v>
      </c>
      <c r="J57" s="2">
        <v>5</v>
      </c>
      <c r="K57" s="3">
        <f t="shared" si="10"/>
        <v>3.333333333333333</v>
      </c>
      <c r="L57" s="2">
        <v>1</v>
      </c>
      <c r="M57" s="3">
        <f t="shared" si="11"/>
        <v>2</v>
      </c>
      <c r="N57" s="3">
        <f t="shared" si="12"/>
        <v>15.099999999999998</v>
      </c>
      <c r="O57" s="3">
        <f t="shared" si="13"/>
        <v>3.0199999999999996</v>
      </c>
      <c r="P57" s="2" t="s">
        <v>80</v>
      </c>
    </row>
    <row r="58" spans="1:16" x14ac:dyDescent="0.25">
      <c r="A58" s="1">
        <v>58</v>
      </c>
      <c r="B58" s="1">
        <v>2202627009</v>
      </c>
      <c r="C58" s="1" t="s">
        <v>23</v>
      </c>
      <c r="D58" s="2">
        <v>13</v>
      </c>
      <c r="E58" s="3">
        <f t="shared" si="7"/>
        <v>4.333333333333333</v>
      </c>
      <c r="F58" s="2">
        <v>13</v>
      </c>
      <c r="G58" s="3">
        <f t="shared" si="8"/>
        <v>5.2</v>
      </c>
      <c r="H58" s="2">
        <v>6</v>
      </c>
      <c r="I58" s="3">
        <f t="shared" si="9"/>
        <v>1.5</v>
      </c>
      <c r="J58" s="2">
        <v>6</v>
      </c>
      <c r="K58" s="3">
        <f t="shared" si="10"/>
        <v>4</v>
      </c>
      <c r="L58" s="2">
        <v>0</v>
      </c>
      <c r="M58" s="3">
        <f t="shared" si="11"/>
        <v>0</v>
      </c>
      <c r="N58" s="3">
        <f t="shared" si="12"/>
        <v>15.033333333333333</v>
      </c>
      <c r="O58" s="3">
        <f t="shared" si="13"/>
        <v>3.0066666666666668</v>
      </c>
      <c r="P58" s="2" t="s">
        <v>78</v>
      </c>
    </row>
    <row r="59" spans="1:16" x14ac:dyDescent="0.25">
      <c r="A59" s="1">
        <v>59</v>
      </c>
      <c r="B59" s="1" t="s">
        <v>52</v>
      </c>
      <c r="C59" s="1" t="s">
        <v>53</v>
      </c>
      <c r="D59" s="2">
        <v>14</v>
      </c>
      <c r="E59" s="3">
        <f t="shared" si="7"/>
        <v>4.6666666666666661</v>
      </c>
      <c r="F59" s="2">
        <v>8</v>
      </c>
      <c r="G59" s="3">
        <f t="shared" si="8"/>
        <v>3.2</v>
      </c>
      <c r="H59" s="2">
        <v>9</v>
      </c>
      <c r="I59" s="3">
        <f t="shared" si="9"/>
        <v>2.25</v>
      </c>
      <c r="J59" s="2">
        <v>4</v>
      </c>
      <c r="K59" s="3">
        <f t="shared" si="10"/>
        <v>2.6666666666666665</v>
      </c>
      <c r="L59" s="2">
        <v>1</v>
      </c>
      <c r="M59" s="3">
        <f t="shared" si="11"/>
        <v>2</v>
      </c>
      <c r="N59" s="3">
        <f t="shared" si="12"/>
        <v>14.783333333333333</v>
      </c>
      <c r="O59" s="3">
        <f t="shared" si="13"/>
        <v>2.9566666666666666</v>
      </c>
      <c r="P59" s="2" t="s">
        <v>81</v>
      </c>
    </row>
    <row r="60" spans="1:16" x14ac:dyDescent="0.25">
      <c r="A60" s="1">
        <v>60</v>
      </c>
      <c r="B60" s="1">
        <v>5198727363</v>
      </c>
      <c r="C60" s="1" t="s">
        <v>58</v>
      </c>
      <c r="D60" s="2">
        <v>13</v>
      </c>
      <c r="E60" s="3">
        <f t="shared" si="7"/>
        <v>4.333333333333333</v>
      </c>
      <c r="F60" s="2">
        <v>8</v>
      </c>
      <c r="G60" s="3">
        <f t="shared" si="8"/>
        <v>3.2</v>
      </c>
      <c r="H60" s="2">
        <v>5</v>
      </c>
      <c r="I60" s="3">
        <f t="shared" si="9"/>
        <v>1.25</v>
      </c>
      <c r="J60" s="2">
        <v>3</v>
      </c>
      <c r="K60" s="3">
        <f t="shared" si="10"/>
        <v>2</v>
      </c>
      <c r="L60" s="2">
        <v>2</v>
      </c>
      <c r="M60" s="3">
        <f t="shared" si="11"/>
        <v>4</v>
      </c>
      <c r="N60" s="3">
        <f t="shared" si="12"/>
        <v>14.783333333333333</v>
      </c>
      <c r="O60" s="3">
        <f t="shared" si="13"/>
        <v>2.9566666666666666</v>
      </c>
      <c r="P60" s="2" t="s">
        <v>81</v>
      </c>
    </row>
    <row r="61" spans="1:16" x14ac:dyDescent="0.25">
      <c r="A61" s="1">
        <v>61</v>
      </c>
      <c r="B61" s="1">
        <v>70168</v>
      </c>
      <c r="C61" s="1" t="s">
        <v>47</v>
      </c>
      <c r="D61" s="2">
        <v>13</v>
      </c>
      <c r="E61" s="3">
        <f t="shared" si="7"/>
        <v>4.333333333333333</v>
      </c>
      <c r="F61" s="2">
        <v>10</v>
      </c>
      <c r="G61" s="3">
        <f t="shared" si="8"/>
        <v>4</v>
      </c>
      <c r="H61" s="2">
        <v>7</v>
      </c>
      <c r="I61" s="3">
        <f t="shared" si="9"/>
        <v>1.75</v>
      </c>
      <c r="J61" s="2">
        <v>4</v>
      </c>
      <c r="K61" s="3">
        <f t="shared" si="10"/>
        <v>2.6666666666666665</v>
      </c>
      <c r="L61" s="2">
        <v>1</v>
      </c>
      <c r="M61" s="3">
        <f t="shared" si="11"/>
        <v>2</v>
      </c>
      <c r="N61" s="3">
        <f t="shared" si="12"/>
        <v>14.749999999999998</v>
      </c>
      <c r="O61" s="3">
        <f t="shared" si="13"/>
        <v>2.9499999999999997</v>
      </c>
      <c r="P61" s="2" t="s">
        <v>81</v>
      </c>
    </row>
    <row r="62" spans="1:16" x14ac:dyDescent="0.25">
      <c r="A62" s="1">
        <v>62</v>
      </c>
      <c r="B62" s="1">
        <v>2202627058</v>
      </c>
      <c r="C62" s="1" t="s">
        <v>22</v>
      </c>
      <c r="D62" s="2">
        <v>12</v>
      </c>
      <c r="E62" s="3">
        <f t="shared" si="7"/>
        <v>4</v>
      </c>
      <c r="F62" s="2">
        <v>10</v>
      </c>
      <c r="G62" s="3">
        <f t="shared" si="8"/>
        <v>4</v>
      </c>
      <c r="H62" s="2">
        <v>8</v>
      </c>
      <c r="I62" s="3">
        <f t="shared" si="9"/>
        <v>2</v>
      </c>
      <c r="J62" s="2">
        <v>4</v>
      </c>
      <c r="K62" s="3">
        <f t="shared" si="10"/>
        <v>2.6666666666666665</v>
      </c>
      <c r="L62" s="2">
        <v>1</v>
      </c>
      <c r="M62" s="3">
        <f t="shared" si="11"/>
        <v>2</v>
      </c>
      <c r="N62" s="3">
        <f t="shared" si="12"/>
        <v>14.666666666666666</v>
      </c>
      <c r="O62" s="3">
        <f t="shared" si="13"/>
        <v>2.9333333333333331</v>
      </c>
      <c r="P62" s="2" t="s">
        <v>78</v>
      </c>
    </row>
    <row r="63" spans="1:16" x14ac:dyDescent="0.25">
      <c r="A63" s="1">
        <v>63</v>
      </c>
      <c r="B63" s="1">
        <v>0</v>
      </c>
      <c r="C63" s="1" t="s">
        <v>70</v>
      </c>
      <c r="D63" s="2">
        <v>11</v>
      </c>
      <c r="E63" s="3">
        <f t="shared" si="7"/>
        <v>3.6666666666666665</v>
      </c>
      <c r="F63" s="2">
        <v>9</v>
      </c>
      <c r="G63" s="3">
        <f t="shared" si="8"/>
        <v>3.6</v>
      </c>
      <c r="H63" s="2">
        <v>8</v>
      </c>
      <c r="I63" s="3">
        <f t="shared" si="9"/>
        <v>2</v>
      </c>
      <c r="J63" s="2">
        <v>4</v>
      </c>
      <c r="K63" s="3">
        <f t="shared" si="10"/>
        <v>2.6666666666666665</v>
      </c>
      <c r="L63" s="2">
        <v>1</v>
      </c>
      <c r="M63" s="3">
        <f t="shared" si="11"/>
        <v>2</v>
      </c>
      <c r="N63" s="3">
        <f t="shared" si="12"/>
        <v>13.933333333333332</v>
      </c>
      <c r="O63" s="3">
        <f t="shared" si="13"/>
        <v>2.7866666666666662</v>
      </c>
      <c r="P63" s="2" t="s">
        <v>81</v>
      </c>
    </row>
    <row r="64" spans="1:16" x14ac:dyDescent="0.25">
      <c r="A64" s="1">
        <v>64</v>
      </c>
      <c r="B64" s="1">
        <v>163</v>
      </c>
      <c r="C64" s="1" t="s">
        <v>73</v>
      </c>
      <c r="D64" s="2">
        <v>13</v>
      </c>
      <c r="E64" s="3">
        <f t="shared" si="7"/>
        <v>4.333333333333333</v>
      </c>
      <c r="F64" s="2">
        <v>11</v>
      </c>
      <c r="G64" s="3">
        <f t="shared" si="8"/>
        <v>4.4000000000000004</v>
      </c>
      <c r="H64" s="2">
        <v>9</v>
      </c>
      <c r="I64" s="3">
        <f t="shared" si="9"/>
        <v>2.25</v>
      </c>
      <c r="J64" s="2">
        <v>1</v>
      </c>
      <c r="K64" s="3">
        <f t="shared" si="10"/>
        <v>0.66666666666666663</v>
      </c>
      <c r="L64" s="2">
        <v>1</v>
      </c>
      <c r="M64" s="3">
        <f t="shared" si="11"/>
        <v>2</v>
      </c>
      <c r="N64" s="3">
        <f t="shared" si="12"/>
        <v>13.65</v>
      </c>
      <c r="O64" s="3">
        <f t="shared" si="13"/>
        <v>2.73</v>
      </c>
      <c r="P64" s="2" t="s">
        <v>81</v>
      </c>
    </row>
    <row r="65" spans="1:16" x14ac:dyDescent="0.25">
      <c r="A65" s="1">
        <v>65</v>
      </c>
      <c r="B65" s="1">
        <v>5195542246</v>
      </c>
      <c r="C65" s="1" t="s">
        <v>55</v>
      </c>
      <c r="D65" s="2">
        <v>11</v>
      </c>
      <c r="E65" s="3">
        <f t="shared" ref="E65:E96" si="14">10/30*D65</f>
        <v>3.6666666666666665</v>
      </c>
      <c r="F65" s="2">
        <v>9</v>
      </c>
      <c r="G65" s="3">
        <f t="shared" ref="G65:G96" si="15">10/25*F65</f>
        <v>3.6</v>
      </c>
      <c r="H65" s="2">
        <v>6</v>
      </c>
      <c r="I65" s="3">
        <f t="shared" ref="I65:I96" si="16">10/40*H65</f>
        <v>1.5</v>
      </c>
      <c r="J65" s="2">
        <v>4</v>
      </c>
      <c r="K65" s="3">
        <f t="shared" ref="K65:K96" si="17">10/15*J65</f>
        <v>2.6666666666666665</v>
      </c>
      <c r="L65" s="2">
        <v>1</v>
      </c>
      <c r="M65" s="3">
        <f t="shared" ref="M65:M96" si="18">10/5*L65</f>
        <v>2</v>
      </c>
      <c r="N65" s="3">
        <f t="shared" ref="N65:N96" si="19">SUM(E65,G65,I65,K65,M65)</f>
        <v>13.433333333333332</v>
      </c>
      <c r="O65" s="3">
        <f t="shared" si="13"/>
        <v>2.6866666666666665</v>
      </c>
      <c r="P65" s="2" t="s">
        <v>81</v>
      </c>
    </row>
    <row r="66" spans="1:16" x14ac:dyDescent="0.25">
      <c r="A66" s="1">
        <v>66</v>
      </c>
      <c r="B66" s="1" t="s">
        <v>60</v>
      </c>
      <c r="C66" s="1" t="s">
        <v>61</v>
      </c>
      <c r="D66" s="2">
        <v>13</v>
      </c>
      <c r="E66" s="3">
        <f t="shared" si="14"/>
        <v>4.333333333333333</v>
      </c>
      <c r="F66" s="2">
        <v>6</v>
      </c>
      <c r="G66" s="3">
        <f t="shared" si="15"/>
        <v>2.4000000000000004</v>
      </c>
      <c r="H66" s="2">
        <v>9</v>
      </c>
      <c r="I66" s="3">
        <f t="shared" si="16"/>
        <v>2.25</v>
      </c>
      <c r="J66" s="2">
        <v>3</v>
      </c>
      <c r="K66" s="3">
        <f t="shared" si="17"/>
        <v>2</v>
      </c>
      <c r="L66" s="2">
        <v>1</v>
      </c>
      <c r="M66" s="3">
        <f t="shared" si="18"/>
        <v>2</v>
      </c>
      <c r="N66" s="3">
        <f t="shared" si="19"/>
        <v>12.983333333333334</v>
      </c>
      <c r="O66" s="3">
        <f t="shared" si="13"/>
        <v>2.5966666666666667</v>
      </c>
      <c r="P66" s="2" t="s">
        <v>81</v>
      </c>
    </row>
    <row r="67" spans="1:16" x14ac:dyDescent="0.25">
      <c r="A67" s="1">
        <v>67</v>
      </c>
      <c r="B67" s="1">
        <v>10129</v>
      </c>
      <c r="C67" s="1" t="s">
        <v>54</v>
      </c>
      <c r="D67" s="2">
        <v>14</v>
      </c>
      <c r="E67" s="3">
        <f t="shared" si="14"/>
        <v>4.6666666666666661</v>
      </c>
      <c r="F67" s="2">
        <v>7</v>
      </c>
      <c r="G67" s="3">
        <f t="shared" si="15"/>
        <v>2.8000000000000003</v>
      </c>
      <c r="H67" s="2">
        <v>9</v>
      </c>
      <c r="I67" s="3">
        <f t="shared" si="16"/>
        <v>2.25</v>
      </c>
      <c r="J67" s="2">
        <v>3</v>
      </c>
      <c r="K67" s="3">
        <f t="shared" si="17"/>
        <v>2</v>
      </c>
      <c r="L67" s="2">
        <v>0</v>
      </c>
      <c r="M67" s="3">
        <f t="shared" si="18"/>
        <v>0</v>
      </c>
      <c r="N67" s="3">
        <f t="shared" si="19"/>
        <v>11.716666666666667</v>
      </c>
      <c r="O67" s="3">
        <f t="shared" si="13"/>
        <v>2.3433333333333333</v>
      </c>
      <c r="P67" s="2" t="s">
        <v>81</v>
      </c>
    </row>
    <row r="68" spans="1:16" x14ac:dyDescent="0.25">
      <c r="A68" s="1">
        <v>68</v>
      </c>
      <c r="B68" s="1">
        <v>10116</v>
      </c>
      <c r="C68" s="1" t="s">
        <v>48</v>
      </c>
      <c r="D68" s="2">
        <v>9</v>
      </c>
      <c r="E68" s="3">
        <f t="shared" si="14"/>
        <v>3</v>
      </c>
      <c r="F68" s="2">
        <v>5</v>
      </c>
      <c r="G68" s="3">
        <f t="shared" si="15"/>
        <v>2</v>
      </c>
      <c r="H68" s="2">
        <v>6</v>
      </c>
      <c r="I68" s="3">
        <f t="shared" si="16"/>
        <v>1.5</v>
      </c>
      <c r="J68" s="2">
        <v>4</v>
      </c>
      <c r="K68" s="3">
        <f t="shared" si="17"/>
        <v>2.6666666666666665</v>
      </c>
      <c r="L68" s="2">
        <v>1</v>
      </c>
      <c r="M68" s="3">
        <f t="shared" si="18"/>
        <v>2</v>
      </c>
      <c r="N68" s="3">
        <f t="shared" si="19"/>
        <v>11.166666666666666</v>
      </c>
      <c r="O68" s="3">
        <f t="shared" si="13"/>
        <v>2.2333333333333334</v>
      </c>
      <c r="P68" s="2" t="s">
        <v>81</v>
      </c>
    </row>
    <row r="69" spans="1:16" x14ac:dyDescent="0.25">
      <c r="A69" s="1">
        <v>69</v>
      </c>
      <c r="B69" s="1">
        <v>5185648339</v>
      </c>
      <c r="C69" s="1" t="s">
        <v>51</v>
      </c>
      <c r="D69" s="2">
        <v>5</v>
      </c>
      <c r="E69" s="3">
        <f t="shared" si="14"/>
        <v>1.6666666666666665</v>
      </c>
      <c r="F69" s="2">
        <v>4</v>
      </c>
      <c r="G69" s="3">
        <f t="shared" si="15"/>
        <v>1.6</v>
      </c>
      <c r="H69" s="2">
        <v>8</v>
      </c>
      <c r="I69" s="3">
        <f t="shared" si="16"/>
        <v>2</v>
      </c>
      <c r="J69" s="2">
        <v>4</v>
      </c>
      <c r="K69" s="3">
        <f t="shared" si="17"/>
        <v>2.6666666666666665</v>
      </c>
      <c r="L69" s="2">
        <v>1</v>
      </c>
      <c r="M69" s="3">
        <f t="shared" si="18"/>
        <v>2</v>
      </c>
      <c r="N69" s="3">
        <f t="shared" si="19"/>
        <v>9.9333333333333336</v>
      </c>
      <c r="O69" s="3">
        <f t="shared" si="13"/>
        <v>1.9866666666666668</v>
      </c>
      <c r="P69" s="2" t="s">
        <v>81</v>
      </c>
    </row>
  </sheetData>
  <sortState xmlns:xlrd2="http://schemas.microsoft.com/office/spreadsheetml/2017/richdata2" ref="B1:P69">
    <sortCondition descending="1" ref="O1:O6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2026-07-20T08:28:57Z</dcterms:created>
  <dcterms:modified xsi:type="dcterms:W3CDTF">2026-07-27T03:32:29Z</dcterms:modified>
</cp:coreProperties>
</file>